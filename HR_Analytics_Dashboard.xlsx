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mployee Data" sheetId="2" state="visible" r:id="rId4"/>
    <sheet name="Summary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<sst xmlns="http://schemas.openxmlformats.org/spreadsheetml/2006/main" count="2104" uniqueCount="494">
  <si>
    <t xml:space="preserve">👩‍💼  HR &amp; WORKFORCE ANALYTICS DASHBOARD</t>
  </si>
  <si>
    <t xml:space="preserve">As of FY 2024  |  All Departments  |  Global Workforce</t>
  </si>
  <si>
    <t xml:space="preserve">👥  TOTAL
HEADCOUNT</t>
  </si>
  <si>
    <t xml:space="preserve">📉  OVERALL
ATTRITION</t>
  </si>
  <si>
    <t xml:space="preserve">✅  ACTIVE
EMPLOYEES</t>
  </si>
  <si>
    <t xml:space="preserve">🏢  DEPARTMENTS</t>
  </si>
  <si>
    <t xml:space="preserve">📊  Department-Wise Headcount &amp; Attrition</t>
  </si>
  <si>
    <t xml:space="preserve">🎯  Workforce KPI Snapshot</t>
  </si>
  <si>
    <t xml:space="preserve">Department</t>
  </si>
  <si>
    <t xml:space="preserve">Headcount</t>
  </si>
  <si>
    <t xml:space="preserve">Attrition</t>
  </si>
  <si>
    <t xml:space="preserve">Rate</t>
  </si>
  <si>
    <t xml:space="preserve">% of Total</t>
  </si>
  <si>
    <t xml:space="preserve">Gender Distribution</t>
  </si>
  <si>
    <t xml:space="preserve">Engineering</t>
  </si>
  <si>
    <t xml:space="preserve">Male 👨</t>
  </si>
  <si>
    <t xml:space="preserve">Sales</t>
  </si>
  <si>
    <t xml:space="preserve">Female 👩</t>
  </si>
  <si>
    <t xml:space="preserve">HR</t>
  </si>
  <si>
    <t xml:space="preserve">Finance</t>
  </si>
  <si>
    <t xml:space="preserve">Age Group Distribution</t>
  </si>
  <si>
    <t xml:space="preserve">Marketing</t>
  </si>
  <si>
    <t xml:space="preserve">22–30</t>
  </si>
  <si>
    <t xml:space="preserve">Operations</t>
  </si>
  <si>
    <t xml:space="preserve">31–40</t>
  </si>
  <si>
    <t xml:space="preserve">Legal</t>
  </si>
  <si>
    <t xml:space="preserve">41–50</t>
  </si>
  <si>
    <t xml:space="preserve">IT Support</t>
  </si>
  <si>
    <t xml:space="preserve">51+</t>
  </si>
  <si>
    <t xml:space="preserve">TOTAL</t>
  </si>
  <si>
    <t xml:space="preserve">100.0%</t>
  </si>
  <si>
    <t xml:space="preserve">📌 Data Source: Employee Data Sheet  |  Refreshed: FY 2024  |  HR Analytics Team</t>
  </si>
  <si>
    <t xml:space="preserve">Emp ID</t>
  </si>
  <si>
    <t xml:space="preserve">Name</t>
  </si>
  <si>
    <t xml:space="preserve">Gender</t>
  </si>
  <si>
    <t xml:space="preserve">Age</t>
  </si>
  <si>
    <t xml:space="preserve">Location</t>
  </si>
  <si>
    <t xml:space="preserve">Join Year</t>
  </si>
  <si>
    <t xml:space="preserve">Status</t>
  </si>
  <si>
    <t xml:space="preserve">Salary</t>
  </si>
  <si>
    <t xml:space="preserve">EMP0001</t>
  </si>
  <si>
    <t xml:space="preserve">Iris Moore</t>
  </si>
  <si>
    <t xml:space="preserve">Female</t>
  </si>
  <si>
    <t xml:space="preserve">New York</t>
  </si>
  <si>
    <t xml:space="preserve">Active</t>
  </si>
  <si>
    <t xml:space="preserve">EMP0002</t>
  </si>
  <si>
    <t xml:space="preserve">Iris Brown</t>
  </si>
  <si>
    <t xml:space="preserve">Male</t>
  </si>
  <si>
    <t xml:space="preserve">Singapore</t>
  </si>
  <si>
    <t xml:space="preserve">EMP0003</t>
  </si>
  <si>
    <t xml:space="preserve">Alice Kumar</t>
  </si>
  <si>
    <t xml:space="preserve">London</t>
  </si>
  <si>
    <t xml:space="preserve">EMP0004</t>
  </si>
  <si>
    <t xml:space="preserve">Bob Moore</t>
  </si>
  <si>
    <t xml:space="preserve">Berlin</t>
  </si>
  <si>
    <t xml:space="preserve">EMP0005</t>
  </si>
  <si>
    <t xml:space="preserve">Henry Brown</t>
  </si>
  <si>
    <t xml:space="preserve">EMP0006</t>
  </si>
  <si>
    <t xml:space="preserve">Frank Taylor</t>
  </si>
  <si>
    <t xml:space="preserve">EMP0007</t>
  </si>
  <si>
    <t xml:space="preserve">Henry Kumar</t>
  </si>
  <si>
    <t xml:space="preserve">Mumbai</t>
  </si>
  <si>
    <t xml:space="preserve">EMP0008</t>
  </si>
  <si>
    <t xml:space="preserve">David Taylor</t>
  </si>
  <si>
    <t xml:space="preserve">EMP0009</t>
  </si>
  <si>
    <t xml:space="preserve">Grace Davis</t>
  </si>
  <si>
    <t xml:space="preserve">EMP0010</t>
  </si>
  <si>
    <t xml:space="preserve">Henry Lee</t>
  </si>
  <si>
    <t xml:space="preserve">EMP0011</t>
  </si>
  <si>
    <t xml:space="preserve">Alice Davis</t>
  </si>
  <si>
    <t xml:space="preserve">EMP0012</t>
  </si>
  <si>
    <t xml:space="preserve">Jack Davis</t>
  </si>
  <si>
    <t xml:space="preserve">EMP0013</t>
  </si>
  <si>
    <t xml:space="preserve">Henry Davis</t>
  </si>
  <si>
    <t xml:space="preserve">EMP0014</t>
  </si>
  <si>
    <t xml:space="preserve">Henry Jones</t>
  </si>
  <si>
    <t xml:space="preserve">Terminated</t>
  </si>
  <si>
    <t xml:space="preserve">EMP0015</t>
  </si>
  <si>
    <t xml:space="preserve">Henry White</t>
  </si>
  <si>
    <t xml:space="preserve">EMP0016</t>
  </si>
  <si>
    <t xml:space="preserve">Carol Smith</t>
  </si>
  <si>
    <t xml:space="preserve">Resigned</t>
  </si>
  <si>
    <t xml:space="preserve">EMP0017</t>
  </si>
  <si>
    <t xml:space="preserve">David Brown</t>
  </si>
  <si>
    <t xml:space="preserve">EMP0018</t>
  </si>
  <si>
    <t xml:space="preserve">Jack White</t>
  </si>
  <si>
    <t xml:space="preserve">EMP0019</t>
  </si>
  <si>
    <t xml:space="preserve">EMP0020</t>
  </si>
  <si>
    <t xml:space="preserve">Alice Lee</t>
  </si>
  <si>
    <t xml:space="preserve">EMP0021</t>
  </si>
  <si>
    <t xml:space="preserve">Carol Lee</t>
  </si>
  <si>
    <t xml:space="preserve">EMP0022</t>
  </si>
  <si>
    <t xml:space="preserve">David Jones</t>
  </si>
  <si>
    <t xml:space="preserve">EMP0023</t>
  </si>
  <si>
    <t xml:space="preserve">EMP0024</t>
  </si>
  <si>
    <t xml:space="preserve">Eva Jones</t>
  </si>
  <si>
    <t xml:space="preserve">EMP0025</t>
  </si>
  <si>
    <t xml:space="preserve">Alice Taylor</t>
  </si>
  <si>
    <t xml:space="preserve">EMP0026</t>
  </si>
  <si>
    <t xml:space="preserve">Bob Jones</t>
  </si>
  <si>
    <t xml:space="preserve">EMP0027</t>
  </si>
  <si>
    <t xml:space="preserve">Henry Moore</t>
  </si>
  <si>
    <t xml:space="preserve">EMP0028</t>
  </si>
  <si>
    <t xml:space="preserve">Iris Kumar</t>
  </si>
  <si>
    <t xml:space="preserve">EMP0029</t>
  </si>
  <si>
    <t xml:space="preserve">Carol Brown</t>
  </si>
  <si>
    <t xml:space="preserve">EMP0030</t>
  </si>
  <si>
    <t xml:space="preserve">Grace Moore</t>
  </si>
  <si>
    <t xml:space="preserve">EMP0031</t>
  </si>
  <si>
    <t xml:space="preserve">Carol Taylor</t>
  </si>
  <si>
    <t xml:space="preserve">EMP0032</t>
  </si>
  <si>
    <t xml:space="preserve">EMP0033</t>
  </si>
  <si>
    <t xml:space="preserve">David Moore</t>
  </si>
  <si>
    <t xml:space="preserve">EMP0034</t>
  </si>
  <si>
    <t xml:space="preserve">David Davis</t>
  </si>
  <si>
    <t xml:space="preserve">EMP0035</t>
  </si>
  <si>
    <t xml:space="preserve">EMP0036</t>
  </si>
  <si>
    <t xml:space="preserve">EMP0037</t>
  </si>
  <si>
    <t xml:space="preserve">Iris Wilson</t>
  </si>
  <si>
    <t xml:space="preserve">EMP0038</t>
  </si>
  <si>
    <t xml:space="preserve">Frank Jones</t>
  </si>
  <si>
    <t xml:space="preserve">EMP0039</t>
  </si>
  <si>
    <t xml:space="preserve">Eva Brown</t>
  </si>
  <si>
    <t xml:space="preserve">EMP0040</t>
  </si>
  <si>
    <t xml:space="preserve">EMP0041</t>
  </si>
  <si>
    <t xml:space="preserve">EMP0042</t>
  </si>
  <si>
    <t xml:space="preserve">Grace Smith</t>
  </si>
  <si>
    <t xml:space="preserve">EMP0043</t>
  </si>
  <si>
    <t xml:space="preserve">EMP0044</t>
  </si>
  <si>
    <t xml:space="preserve">David Lee</t>
  </si>
  <si>
    <t xml:space="preserve">EMP0045</t>
  </si>
  <si>
    <t xml:space="preserve">Carol Moore</t>
  </si>
  <si>
    <t xml:space="preserve">EMP0046</t>
  </si>
  <si>
    <t xml:space="preserve">Jack Kumar</t>
  </si>
  <si>
    <t xml:space="preserve">EMP0047</t>
  </si>
  <si>
    <t xml:space="preserve">EMP0048</t>
  </si>
  <si>
    <t xml:space="preserve">David Wilson</t>
  </si>
  <si>
    <t xml:space="preserve">EMP0049</t>
  </si>
  <si>
    <t xml:space="preserve">Iris Taylor</t>
  </si>
  <si>
    <t xml:space="preserve">EMP0050</t>
  </si>
  <si>
    <t xml:space="preserve">Bob Davis</t>
  </si>
  <si>
    <t xml:space="preserve">EMP0051</t>
  </si>
  <si>
    <t xml:space="preserve">EMP0052</t>
  </si>
  <si>
    <t xml:space="preserve">Eva Taylor</t>
  </si>
  <si>
    <t xml:space="preserve">EMP0053</t>
  </si>
  <si>
    <t xml:space="preserve">EMP0054</t>
  </si>
  <si>
    <t xml:space="preserve">EMP0055</t>
  </si>
  <si>
    <t xml:space="preserve">EMP0056</t>
  </si>
  <si>
    <t xml:space="preserve">Grace Lee</t>
  </si>
  <si>
    <t xml:space="preserve">EMP0057</t>
  </si>
  <si>
    <t xml:space="preserve">Frank Lee</t>
  </si>
  <si>
    <t xml:space="preserve">EMP0058</t>
  </si>
  <si>
    <t xml:space="preserve">EMP0059</t>
  </si>
  <si>
    <t xml:space="preserve">Eva Wilson</t>
  </si>
  <si>
    <t xml:space="preserve">EMP0060</t>
  </si>
  <si>
    <t xml:space="preserve">Frank Smith</t>
  </si>
  <si>
    <t xml:space="preserve">EMP0061</t>
  </si>
  <si>
    <t xml:space="preserve">Grace White</t>
  </si>
  <si>
    <t xml:space="preserve">EMP0062</t>
  </si>
  <si>
    <t xml:space="preserve">Henry Wilson</t>
  </si>
  <si>
    <t xml:space="preserve">EMP0063</t>
  </si>
  <si>
    <t xml:space="preserve">Iris Jones</t>
  </si>
  <si>
    <t xml:space="preserve">EMP0064</t>
  </si>
  <si>
    <t xml:space="preserve">Bob Taylor</t>
  </si>
  <si>
    <t xml:space="preserve">EMP0065</t>
  </si>
  <si>
    <t xml:space="preserve">Jack Moore</t>
  </si>
  <si>
    <t xml:space="preserve">EMP0066</t>
  </si>
  <si>
    <t xml:space="preserve">EMP0067</t>
  </si>
  <si>
    <t xml:space="preserve">Bob Brown</t>
  </si>
  <si>
    <t xml:space="preserve">EMP0068</t>
  </si>
  <si>
    <t xml:space="preserve">EMP0069</t>
  </si>
  <si>
    <t xml:space="preserve">David White</t>
  </si>
  <si>
    <t xml:space="preserve">EMP0070</t>
  </si>
  <si>
    <t xml:space="preserve">EMP0071</t>
  </si>
  <si>
    <t xml:space="preserve">Grace Jones</t>
  </si>
  <si>
    <t xml:space="preserve">EMP0072</t>
  </si>
  <si>
    <t xml:space="preserve">EMP0073</t>
  </si>
  <si>
    <t xml:space="preserve">EMP0074</t>
  </si>
  <si>
    <t xml:space="preserve">Jack Lee</t>
  </si>
  <si>
    <t xml:space="preserve">EMP0075</t>
  </si>
  <si>
    <t xml:space="preserve">EMP0076</t>
  </si>
  <si>
    <t xml:space="preserve">Alice Moore</t>
  </si>
  <si>
    <t xml:space="preserve">EMP0077</t>
  </si>
  <si>
    <t xml:space="preserve">Frank Wilson</t>
  </si>
  <si>
    <t xml:space="preserve">EMP0078</t>
  </si>
  <si>
    <t xml:space="preserve">EMP0079</t>
  </si>
  <si>
    <t xml:space="preserve">EMP0080</t>
  </si>
  <si>
    <t xml:space="preserve">Iris Smith</t>
  </si>
  <si>
    <t xml:space="preserve">EMP0081</t>
  </si>
  <si>
    <t xml:space="preserve">EMP0082</t>
  </si>
  <si>
    <t xml:space="preserve">EMP0083</t>
  </si>
  <si>
    <t xml:space="preserve">EMP0084</t>
  </si>
  <si>
    <t xml:space="preserve">Jack Wilson</t>
  </si>
  <si>
    <t xml:space="preserve">EMP0085</t>
  </si>
  <si>
    <t xml:space="preserve">EMP0086</t>
  </si>
  <si>
    <t xml:space="preserve">EMP0087</t>
  </si>
  <si>
    <t xml:space="preserve">Alice Wilson</t>
  </si>
  <si>
    <t xml:space="preserve">EMP0088</t>
  </si>
  <si>
    <t xml:space="preserve">Carol Kumar</t>
  </si>
  <si>
    <t xml:space="preserve">EMP0089</t>
  </si>
  <si>
    <t xml:space="preserve">EMP0090</t>
  </si>
  <si>
    <t xml:space="preserve">Alice White</t>
  </si>
  <si>
    <t xml:space="preserve">EMP0091</t>
  </si>
  <si>
    <t xml:space="preserve">EMP0092</t>
  </si>
  <si>
    <t xml:space="preserve">Bob Smith</t>
  </si>
  <si>
    <t xml:space="preserve">EMP0093</t>
  </si>
  <si>
    <t xml:space="preserve">EMP0094</t>
  </si>
  <si>
    <t xml:space="preserve">Eva Kumar</t>
  </si>
  <si>
    <t xml:space="preserve">EMP0095</t>
  </si>
  <si>
    <t xml:space="preserve">EMP0096</t>
  </si>
  <si>
    <t xml:space="preserve">EMP0097</t>
  </si>
  <si>
    <t xml:space="preserve">EMP0098</t>
  </si>
  <si>
    <t xml:space="preserve">Jack Jones</t>
  </si>
  <si>
    <t xml:space="preserve">EMP0099</t>
  </si>
  <si>
    <t xml:space="preserve">Eva Smith</t>
  </si>
  <si>
    <t xml:space="preserve">EMP0100</t>
  </si>
  <si>
    <t xml:space="preserve">Jack Smith</t>
  </si>
  <si>
    <t xml:space="preserve">EMP0101</t>
  </si>
  <si>
    <t xml:space="preserve">EMP0102</t>
  </si>
  <si>
    <t xml:space="preserve">Iris White</t>
  </si>
  <si>
    <t xml:space="preserve">EMP0103</t>
  </si>
  <si>
    <t xml:space="preserve">EMP0104</t>
  </si>
  <si>
    <t xml:space="preserve">EMP0105</t>
  </si>
  <si>
    <t xml:space="preserve">EMP0106</t>
  </si>
  <si>
    <t xml:space="preserve">EMP0107</t>
  </si>
  <si>
    <t xml:space="preserve">EMP0108</t>
  </si>
  <si>
    <t xml:space="preserve">EMP0109</t>
  </si>
  <si>
    <t xml:space="preserve">Frank Moore</t>
  </si>
  <si>
    <t xml:space="preserve">EMP0110</t>
  </si>
  <si>
    <t xml:space="preserve">EMP0111</t>
  </si>
  <si>
    <t xml:space="preserve">EMP0112</t>
  </si>
  <si>
    <t xml:space="preserve">Frank Kumar</t>
  </si>
  <si>
    <t xml:space="preserve">EMP0113</t>
  </si>
  <si>
    <t xml:space="preserve">EMP0114</t>
  </si>
  <si>
    <t xml:space="preserve">Carol White</t>
  </si>
  <si>
    <t xml:space="preserve">EMP0115</t>
  </si>
  <si>
    <t xml:space="preserve">EMP0116</t>
  </si>
  <si>
    <t xml:space="preserve">EMP0117</t>
  </si>
  <si>
    <t xml:space="preserve">EMP0118</t>
  </si>
  <si>
    <t xml:space="preserve">EMP0119</t>
  </si>
  <si>
    <t xml:space="preserve">EMP0120</t>
  </si>
  <si>
    <t xml:space="preserve">Carol Wilson</t>
  </si>
  <si>
    <t xml:space="preserve">EMP0121</t>
  </si>
  <si>
    <t xml:space="preserve">EMP0122</t>
  </si>
  <si>
    <t xml:space="preserve">Eva Lee</t>
  </si>
  <si>
    <t xml:space="preserve">EMP0123</t>
  </si>
  <si>
    <t xml:space="preserve">EMP0124</t>
  </si>
  <si>
    <t xml:space="preserve">EMP0125</t>
  </si>
  <si>
    <t xml:space="preserve">EMP0126</t>
  </si>
  <si>
    <t xml:space="preserve">Grace Wilson</t>
  </si>
  <si>
    <t xml:space="preserve">EMP0127</t>
  </si>
  <si>
    <t xml:space="preserve">EMP0128</t>
  </si>
  <si>
    <t xml:space="preserve">EMP0129</t>
  </si>
  <si>
    <t xml:space="preserve">EMP0130</t>
  </si>
  <si>
    <t xml:space="preserve">EMP0131</t>
  </si>
  <si>
    <t xml:space="preserve">EMP0132</t>
  </si>
  <si>
    <t xml:space="preserve">EMP0133</t>
  </si>
  <si>
    <t xml:space="preserve">Jack Brown</t>
  </si>
  <si>
    <t xml:space="preserve">EMP0134</t>
  </si>
  <si>
    <t xml:space="preserve">EMP0135</t>
  </si>
  <si>
    <t xml:space="preserve">EMP0136</t>
  </si>
  <si>
    <t xml:space="preserve">EMP0137</t>
  </si>
  <si>
    <t xml:space="preserve">EMP0138</t>
  </si>
  <si>
    <t xml:space="preserve">EMP0139</t>
  </si>
  <si>
    <t xml:space="preserve">EMP0140</t>
  </si>
  <si>
    <t xml:space="preserve">EMP0141</t>
  </si>
  <si>
    <t xml:space="preserve">EMP0142</t>
  </si>
  <si>
    <t xml:space="preserve">EMP0143</t>
  </si>
  <si>
    <t xml:space="preserve">Grace Taylor</t>
  </si>
  <si>
    <t xml:space="preserve">EMP0144</t>
  </si>
  <si>
    <t xml:space="preserve">Henry Smith</t>
  </si>
  <si>
    <t xml:space="preserve">EMP0145</t>
  </si>
  <si>
    <t xml:space="preserve">Frank White</t>
  </si>
  <si>
    <t xml:space="preserve">EMP0146</t>
  </si>
  <si>
    <t xml:space="preserve">Bob Kumar</t>
  </si>
  <si>
    <t xml:space="preserve">EMP0147</t>
  </si>
  <si>
    <t xml:space="preserve">EMP0148</t>
  </si>
  <si>
    <t xml:space="preserve">EMP0149</t>
  </si>
  <si>
    <t xml:space="preserve">EMP0150</t>
  </si>
  <si>
    <t xml:space="preserve">EMP0151</t>
  </si>
  <si>
    <t xml:space="preserve">EMP0152</t>
  </si>
  <si>
    <t xml:space="preserve">EMP0153</t>
  </si>
  <si>
    <t xml:space="preserve">EMP0154</t>
  </si>
  <si>
    <t xml:space="preserve">EMP0155</t>
  </si>
  <si>
    <t xml:space="preserve">EMP0156</t>
  </si>
  <si>
    <t xml:space="preserve">EMP0157</t>
  </si>
  <si>
    <t xml:space="preserve">Eva White</t>
  </si>
  <si>
    <t xml:space="preserve">EMP0158</t>
  </si>
  <si>
    <t xml:space="preserve">Eva Moore</t>
  </si>
  <si>
    <t xml:space="preserve">EMP0159</t>
  </si>
  <si>
    <t xml:space="preserve">EMP0160</t>
  </si>
  <si>
    <t xml:space="preserve">EMP0161</t>
  </si>
  <si>
    <t xml:space="preserve">EMP0162</t>
  </si>
  <si>
    <t xml:space="preserve">Alice Smith</t>
  </si>
  <si>
    <t xml:space="preserve">EMP0163</t>
  </si>
  <si>
    <t xml:space="preserve">EMP0164</t>
  </si>
  <si>
    <t xml:space="preserve">EMP0165</t>
  </si>
  <si>
    <t xml:space="preserve">EMP0166</t>
  </si>
  <si>
    <t xml:space="preserve">EMP0167</t>
  </si>
  <si>
    <t xml:space="preserve">Jack Taylor</t>
  </si>
  <si>
    <t xml:space="preserve">EMP0168</t>
  </si>
  <si>
    <t xml:space="preserve">Iris Davis</t>
  </si>
  <si>
    <t xml:space="preserve">EMP0169</t>
  </si>
  <si>
    <t xml:space="preserve">EMP0170</t>
  </si>
  <si>
    <t xml:space="preserve">Alice Brown</t>
  </si>
  <si>
    <t xml:space="preserve">EMP0171</t>
  </si>
  <si>
    <t xml:space="preserve">EMP0172</t>
  </si>
  <si>
    <t xml:space="preserve">Henry Taylor</t>
  </si>
  <si>
    <t xml:space="preserve">EMP0173</t>
  </si>
  <si>
    <t xml:space="preserve">EMP0174</t>
  </si>
  <si>
    <t xml:space="preserve">EMP0175</t>
  </si>
  <si>
    <t xml:space="preserve">EMP0176</t>
  </si>
  <si>
    <t xml:space="preserve">EMP0177</t>
  </si>
  <si>
    <t xml:space="preserve">EMP0178</t>
  </si>
  <si>
    <t xml:space="preserve">EMP0179</t>
  </si>
  <si>
    <t xml:space="preserve">EMP0180</t>
  </si>
  <si>
    <t xml:space="preserve">Eva Davis</t>
  </si>
  <si>
    <t xml:space="preserve">EMP0181</t>
  </si>
  <si>
    <t xml:space="preserve">EMP0182</t>
  </si>
  <si>
    <t xml:space="preserve">EMP0183</t>
  </si>
  <si>
    <t xml:space="preserve">Grace Kumar</t>
  </si>
  <si>
    <t xml:space="preserve">EMP0184</t>
  </si>
  <si>
    <t xml:space="preserve">EMP0185</t>
  </si>
  <si>
    <t xml:space="preserve">EMP0186</t>
  </si>
  <si>
    <t xml:space="preserve">EMP0187</t>
  </si>
  <si>
    <t xml:space="preserve">Frank Brown</t>
  </si>
  <si>
    <t xml:space="preserve">EMP0188</t>
  </si>
  <si>
    <t xml:space="preserve">EMP0189</t>
  </si>
  <si>
    <t xml:space="preserve">EMP0190</t>
  </si>
  <si>
    <t xml:space="preserve">EMP0191</t>
  </si>
  <si>
    <t xml:space="preserve">EMP0192</t>
  </si>
  <si>
    <t xml:space="preserve">EMP0193</t>
  </si>
  <si>
    <t xml:space="preserve">EMP0194</t>
  </si>
  <si>
    <t xml:space="preserve">EMP0195</t>
  </si>
  <si>
    <t xml:space="preserve">EMP0196</t>
  </si>
  <si>
    <t xml:space="preserve">EMP0197</t>
  </si>
  <si>
    <t xml:space="preserve">EMP0198</t>
  </si>
  <si>
    <t xml:space="preserve">EMP0199</t>
  </si>
  <si>
    <t xml:space="preserve">EMP0200</t>
  </si>
  <si>
    <t xml:space="preserve">EMP0201</t>
  </si>
  <si>
    <t xml:space="preserve">EMP0202</t>
  </si>
  <si>
    <t xml:space="preserve">EMP0203</t>
  </si>
  <si>
    <t xml:space="preserve">EMP0204</t>
  </si>
  <si>
    <t xml:space="preserve">EMP0205</t>
  </si>
  <si>
    <t xml:space="preserve">EMP0206</t>
  </si>
  <si>
    <t xml:space="preserve">Bob Wilson</t>
  </si>
  <si>
    <t xml:space="preserve">EMP0207</t>
  </si>
  <si>
    <t xml:space="preserve">EMP0208</t>
  </si>
  <si>
    <t xml:space="preserve">EMP0209</t>
  </si>
  <si>
    <t xml:space="preserve">EMP0210</t>
  </si>
  <si>
    <t xml:space="preserve">EMP0211</t>
  </si>
  <si>
    <t xml:space="preserve">EMP0212</t>
  </si>
  <si>
    <t xml:space="preserve">EMP0213</t>
  </si>
  <si>
    <t xml:space="preserve">EMP0214</t>
  </si>
  <si>
    <t xml:space="preserve">Carol Davis</t>
  </si>
  <si>
    <t xml:space="preserve">EMP0215</t>
  </si>
  <si>
    <t xml:space="preserve">EMP0216</t>
  </si>
  <si>
    <t xml:space="preserve">EMP0217</t>
  </si>
  <si>
    <t xml:space="preserve">EMP0218</t>
  </si>
  <si>
    <t xml:space="preserve">EMP0219</t>
  </si>
  <si>
    <t xml:space="preserve">David Smith</t>
  </si>
  <si>
    <t xml:space="preserve">EMP0220</t>
  </si>
  <si>
    <t xml:space="preserve">EMP0221</t>
  </si>
  <si>
    <t xml:space="preserve">EMP0222</t>
  </si>
  <si>
    <t xml:space="preserve">EMP0223</t>
  </si>
  <si>
    <t xml:space="preserve">EMP0224</t>
  </si>
  <si>
    <t xml:space="preserve">EMP0225</t>
  </si>
  <si>
    <t xml:space="preserve">David Kumar</t>
  </si>
  <si>
    <t xml:space="preserve">EMP0226</t>
  </si>
  <si>
    <t xml:space="preserve">EMP0227</t>
  </si>
  <si>
    <t xml:space="preserve">EMP0228</t>
  </si>
  <si>
    <t xml:space="preserve">EMP0229</t>
  </si>
  <si>
    <t xml:space="preserve">EMP0230</t>
  </si>
  <si>
    <t xml:space="preserve">EMP0231</t>
  </si>
  <si>
    <t xml:space="preserve">EMP0232</t>
  </si>
  <si>
    <t xml:space="preserve">EMP0233</t>
  </si>
  <si>
    <t xml:space="preserve">EMP0234</t>
  </si>
  <si>
    <t xml:space="preserve">EMP0235</t>
  </si>
  <si>
    <t xml:space="preserve">EMP0236</t>
  </si>
  <si>
    <t xml:space="preserve">EMP0237</t>
  </si>
  <si>
    <t xml:space="preserve">EMP0238</t>
  </si>
  <si>
    <t xml:space="preserve">EMP0239</t>
  </si>
  <si>
    <t xml:space="preserve">EMP0240</t>
  </si>
  <si>
    <t xml:space="preserve">EMP0241</t>
  </si>
  <si>
    <t xml:space="preserve">EMP0242</t>
  </si>
  <si>
    <t xml:space="preserve">EMP0243</t>
  </si>
  <si>
    <t xml:space="preserve">EMP0244</t>
  </si>
  <si>
    <t xml:space="preserve">EMP0245</t>
  </si>
  <si>
    <t xml:space="preserve">Iris Lee</t>
  </si>
  <si>
    <t xml:space="preserve">EMP0246</t>
  </si>
  <si>
    <t xml:space="preserve">EMP0247</t>
  </si>
  <si>
    <t xml:space="preserve">Bob White</t>
  </si>
  <si>
    <t xml:space="preserve">EMP0248</t>
  </si>
  <si>
    <t xml:space="preserve">EMP0249</t>
  </si>
  <si>
    <t xml:space="preserve">EMP0250</t>
  </si>
  <si>
    <t xml:space="preserve">EMP0251</t>
  </si>
  <si>
    <t xml:space="preserve">EMP0252</t>
  </si>
  <si>
    <t xml:space="preserve">EMP0253</t>
  </si>
  <si>
    <t xml:space="preserve">EMP0254</t>
  </si>
  <si>
    <t xml:space="preserve">EMP0255</t>
  </si>
  <si>
    <t xml:space="preserve">EMP0256</t>
  </si>
  <si>
    <t xml:space="preserve">EMP0257</t>
  </si>
  <si>
    <t xml:space="preserve">Alice Jones</t>
  </si>
  <si>
    <t xml:space="preserve">EMP0258</t>
  </si>
  <si>
    <t xml:space="preserve">EMP0259</t>
  </si>
  <si>
    <t xml:space="preserve">EMP0260</t>
  </si>
  <si>
    <t xml:space="preserve">EMP0261</t>
  </si>
  <si>
    <t xml:space="preserve">EMP0262</t>
  </si>
  <si>
    <t xml:space="preserve">EMP0263</t>
  </si>
  <si>
    <t xml:space="preserve">EMP0264</t>
  </si>
  <si>
    <t xml:space="preserve">EMP0265</t>
  </si>
  <si>
    <t xml:space="preserve">EMP0266</t>
  </si>
  <si>
    <t xml:space="preserve">EMP0267</t>
  </si>
  <si>
    <t xml:space="preserve">EMP0268</t>
  </si>
  <si>
    <t xml:space="preserve">EMP0269</t>
  </si>
  <si>
    <t xml:space="preserve">EMP0270</t>
  </si>
  <si>
    <t xml:space="preserve">EMP0271</t>
  </si>
  <si>
    <t xml:space="preserve">EMP0272</t>
  </si>
  <si>
    <t xml:space="preserve">EMP0273</t>
  </si>
  <si>
    <t xml:space="preserve">EMP0274</t>
  </si>
  <si>
    <t xml:space="preserve">EMP0275</t>
  </si>
  <si>
    <t xml:space="preserve">EMP0276</t>
  </si>
  <si>
    <t xml:space="preserve">EMP0277</t>
  </si>
  <si>
    <t xml:space="preserve">EMP0278</t>
  </si>
  <si>
    <t xml:space="preserve">EMP0279</t>
  </si>
  <si>
    <t xml:space="preserve">EMP0280</t>
  </si>
  <si>
    <t xml:space="preserve">EMP0281</t>
  </si>
  <si>
    <t xml:space="preserve">EMP0282</t>
  </si>
  <si>
    <t xml:space="preserve">EMP0283</t>
  </si>
  <si>
    <t xml:space="preserve">Bob Lee</t>
  </si>
  <si>
    <t xml:space="preserve">EMP0284</t>
  </si>
  <si>
    <t xml:space="preserve">EMP0285</t>
  </si>
  <si>
    <t xml:space="preserve">EMP0286</t>
  </si>
  <si>
    <t xml:space="preserve">EMP0287</t>
  </si>
  <si>
    <t xml:space="preserve">EMP0288</t>
  </si>
  <si>
    <t xml:space="preserve">EMP0289</t>
  </si>
  <si>
    <t xml:space="preserve">EMP0290</t>
  </si>
  <si>
    <t xml:space="preserve">EMP0291</t>
  </si>
  <si>
    <t xml:space="preserve">EMP0292</t>
  </si>
  <si>
    <t xml:space="preserve">Frank Davis</t>
  </si>
  <si>
    <t xml:space="preserve">EMP0293</t>
  </si>
  <si>
    <t xml:space="preserve">EMP0294</t>
  </si>
  <si>
    <t xml:space="preserve">EMP0295</t>
  </si>
  <si>
    <t xml:space="preserve">EMP0296</t>
  </si>
  <si>
    <t xml:space="preserve">EMP0297</t>
  </si>
  <si>
    <t xml:space="preserve">EMP0298</t>
  </si>
  <si>
    <t xml:space="preserve">EMP0299</t>
  </si>
  <si>
    <t xml:space="preserve">EMP0300</t>
  </si>
  <si>
    <t xml:space="preserve">EMP0301</t>
  </si>
  <si>
    <t xml:space="preserve">EMP0302</t>
  </si>
  <si>
    <t xml:space="preserve">EMP0303</t>
  </si>
  <si>
    <t xml:space="preserve">EMP0304</t>
  </si>
  <si>
    <t xml:space="preserve">EMP0305</t>
  </si>
  <si>
    <t xml:space="preserve">EMP0306</t>
  </si>
  <si>
    <t xml:space="preserve">EMP0307</t>
  </si>
  <si>
    <t xml:space="preserve">EMP0308</t>
  </si>
  <si>
    <t xml:space="preserve">EMP0309</t>
  </si>
  <si>
    <t xml:space="preserve">EMP0310</t>
  </si>
  <si>
    <t xml:space="preserve">EMP0311</t>
  </si>
  <si>
    <t xml:space="preserve">Grace Brown</t>
  </si>
  <si>
    <t xml:space="preserve">EMP0312</t>
  </si>
  <si>
    <t xml:space="preserve">EMP0313</t>
  </si>
  <si>
    <t xml:space="preserve">EMP0314</t>
  </si>
  <si>
    <t xml:space="preserve">EMP0315</t>
  </si>
  <si>
    <t xml:space="preserve">EMP0316</t>
  </si>
  <si>
    <t xml:space="preserve">EMP0317</t>
  </si>
  <si>
    <t xml:space="preserve">EMP0318</t>
  </si>
  <si>
    <t xml:space="preserve">EMP0319</t>
  </si>
  <si>
    <t xml:space="preserve">EMP0320</t>
  </si>
  <si>
    <t xml:space="preserve">EMP0321</t>
  </si>
  <si>
    <t xml:space="preserve">EMP0322</t>
  </si>
  <si>
    <t xml:space="preserve">EMP0323</t>
  </si>
  <si>
    <t xml:space="preserve">Carol Jones</t>
  </si>
  <si>
    <t xml:space="preserve">EMP0324</t>
  </si>
  <si>
    <t xml:space="preserve">EMP0325</t>
  </si>
  <si>
    <t xml:space="preserve">EMP0326</t>
  </si>
  <si>
    <t xml:space="preserve">EMP0327</t>
  </si>
  <si>
    <t xml:space="preserve">EMP0328</t>
  </si>
  <si>
    <t xml:space="preserve">EMP0329</t>
  </si>
  <si>
    <t xml:space="preserve">EMP0330</t>
  </si>
  <si>
    <t xml:space="preserve">EMP0331</t>
  </si>
  <si>
    <t xml:space="preserve">EMP0332</t>
  </si>
  <si>
    <t xml:space="preserve">EMP0333</t>
  </si>
  <si>
    <t xml:space="preserve">EMP0334</t>
  </si>
  <si>
    <t xml:space="preserve">EMP0335</t>
  </si>
  <si>
    <t xml:space="preserve">EMP0336</t>
  </si>
  <si>
    <t xml:space="preserve">EMP0337</t>
  </si>
  <si>
    <t xml:space="preserve">EMP0338</t>
  </si>
  <si>
    <t xml:space="preserve">EMP0339</t>
  </si>
  <si>
    <t xml:space="preserve">EMP0340</t>
  </si>
  <si>
    <t xml:space="preserve">Attrition Count</t>
  </si>
  <si>
    <t xml:space="preserve">Attrition Rate</t>
  </si>
  <si>
    <t xml:space="preserve">Count</t>
  </si>
  <si>
    <t xml:space="preserve">Age Group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</si>
</sst>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"/>
    <numFmt numFmtId="168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1F1F1F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7F7F7F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4F81BD"/>
      <rgbColor rgb="FF878787"/>
      <rgbColor rgb="FF1F3864"/>
      <rgbColor rgb="FF70AD47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Data'!B1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Data'!$A$2:$A$9</c:f>
              <c:strCache>
                <c:ptCount val="8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  <c:pt idx="6">
                  <c:v>Legal</c:v>
                </c:pt>
                <c:pt idx="7">
                  <c:v>IT Support</c:v>
                </c:pt>
              </c:strCache>
            </c:strRef>
          </c:cat>
          <c:val>
            <c:numRef>
              <c:f>'Summary Data'!$B$2:$B$9</c:f>
              <c:numCache>
                <c:formatCode>General</c:formatCode>
                <c:ptCount val="8"/>
                <c:pt idx="0">
                  <c:v>85</c:v>
                </c:pt>
                <c:pt idx="1">
                  <c:v>60</c:v>
                </c:pt>
                <c:pt idx="2">
                  <c:v>20</c:v>
                </c:pt>
                <c:pt idx="3">
                  <c:v>35</c:v>
                </c:pt>
                <c:pt idx="4">
                  <c:v>30</c:v>
                </c:pt>
                <c:pt idx="5">
                  <c:v>55</c:v>
                </c:pt>
                <c:pt idx="6">
                  <c:v>12</c:v>
                </c:pt>
                <c:pt idx="7">
                  <c:v>43</c:v>
                </c:pt>
              </c:numCache>
            </c:numRef>
          </c:val>
        </c:ser>
        <c:gapWidth val="150"/>
        <c:overlap val="0"/>
        <c:axId val="97341219"/>
        <c:axId val="54426241"/>
      </c:barChart>
      <c:catAx>
        <c:axId val="973412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26241"/>
        <c:crosses val="autoZero"/>
        <c:auto val="1"/>
        <c:lblAlgn val="ctr"/>
        <c:lblOffset val="100"/>
        <c:noMultiLvlLbl val="0"/>
      </c:catAx>
      <c:valAx>
        <c:axId val="54426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412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Data'!D1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Data'!$A$2:$A$9</c:f>
              <c:strCache>
                <c:ptCount val="8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Marketing</c:v>
                </c:pt>
                <c:pt idx="5">
                  <c:v>Operations</c:v>
                </c:pt>
                <c:pt idx="6">
                  <c:v>Legal</c:v>
                </c:pt>
                <c:pt idx="7">
                  <c:v>IT Support</c:v>
                </c:pt>
              </c:strCache>
            </c:strRef>
          </c:cat>
          <c:val>
            <c:numRef>
              <c:f>'Summary Data'!$D$2:$D$9</c:f>
              <c:numCache>
                <c:formatCode>0.0%</c:formatCode>
                <c:ptCount val="8"/>
                <c:pt idx="0">
                  <c:v>0.05</c:v>
                </c:pt>
                <c:pt idx="1">
                  <c:v>0.12</c:v>
                </c:pt>
                <c:pt idx="2">
                  <c:v>0.08</c:v>
                </c:pt>
                <c:pt idx="3">
                  <c:v>0.06</c:v>
                </c:pt>
                <c:pt idx="4">
                  <c:v>0.15</c:v>
                </c:pt>
                <c:pt idx="5">
                  <c:v>0.09</c:v>
                </c:pt>
                <c:pt idx="6">
                  <c:v>0.04</c:v>
                </c:pt>
                <c:pt idx="7">
                  <c:v>0.1</c:v>
                </c:pt>
              </c:numCache>
            </c:numRef>
          </c:val>
        </c:ser>
        <c:gapWidth val="150"/>
        <c:overlap val="0"/>
        <c:axId val="4023424"/>
        <c:axId val="6813649"/>
      </c:barChart>
      <c:catAx>
        <c:axId val="402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3649"/>
        <c:crosses val="autoZero"/>
        <c:auto val="1"/>
        <c:lblAlgn val="ctr"/>
        <c:lblOffset val="100"/>
        <c:noMultiLvlLbl val="0"/>
      </c:catAx>
      <c:valAx>
        <c:axId val="6813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3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Data'!G1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Data'!$F$2:$F$3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'Summary Data'!$G$2:$G$3</c:f>
              <c:numCache>
                <c:formatCode>General</c:formatCode>
                <c:ptCount val="2"/>
                <c:pt idx="0">
                  <c:v>196</c:v>
                </c:pt>
                <c:pt idx="1">
                  <c:v>144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11</xdr:col>
      <xdr:colOff>120960</xdr:colOff>
      <xdr:row>41</xdr:row>
      <xdr:rowOff>81000</xdr:rowOff>
    </xdr:to>
    <xdr:graphicFrame>
      <xdr:nvGraphicFramePr>
        <xdr:cNvPr id="0" name="Chart 1"/>
        <xdr:cNvGraphicFramePr/>
      </xdr:nvGraphicFramePr>
      <xdr:xfrm>
        <a:off x="70560" y="49338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22</xdr:row>
      <xdr:rowOff>0</xdr:rowOff>
    </xdr:from>
    <xdr:to>
      <xdr:col>22</xdr:col>
      <xdr:colOff>50400</xdr:colOff>
      <xdr:row>41</xdr:row>
      <xdr:rowOff>81000</xdr:rowOff>
    </xdr:to>
    <xdr:graphicFrame>
      <xdr:nvGraphicFramePr>
        <xdr:cNvPr id="1" name="Chart 2"/>
        <xdr:cNvGraphicFramePr/>
      </xdr:nvGraphicFramePr>
      <xdr:xfrm>
        <a:off x="5709240" y="49338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7</xdr:col>
      <xdr:colOff>216360</xdr:colOff>
      <xdr:row>54</xdr:row>
      <xdr:rowOff>170640</xdr:rowOff>
    </xdr:to>
    <xdr:graphicFrame>
      <xdr:nvGraphicFramePr>
        <xdr:cNvPr id="2" name="Chart 3"/>
        <xdr:cNvGraphicFramePr/>
      </xdr:nvGraphicFramePr>
      <xdr:xfrm>
        <a:off x="70560" y="8715240"/>
        <a:ext cx="35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U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1" min="2" style="0" width="8"/>
    <col collapsed="false" customWidth="true" hidden="false" outlineLevel="0" max="22" min="22" style="0" width="1"/>
  </cols>
  <sheetData>
    <row r="1" customFormat="false" ht="13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7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18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customFormat="false" ht="18" hidden="false" customHeight="true" outlineLevel="0" collapsed="false"/>
    <row r="6" customFormat="false" ht="18" hidden="false" customHeight="true" outlineLevel="0" collapsed="false">
      <c r="B6" s="3" t="s">
        <v>2</v>
      </c>
      <c r="C6" s="3"/>
      <c r="D6" s="3"/>
      <c r="E6" s="3"/>
      <c r="F6" s="3"/>
      <c r="G6" s="4" t="s">
        <v>3</v>
      </c>
      <c r="H6" s="4"/>
      <c r="I6" s="4"/>
      <c r="J6" s="4"/>
      <c r="K6" s="4"/>
      <c r="L6" s="5" t="s">
        <v>4</v>
      </c>
      <c r="M6" s="5"/>
      <c r="N6" s="5"/>
      <c r="O6" s="5"/>
      <c r="P6" s="5"/>
      <c r="Q6" s="6" t="s">
        <v>5</v>
      </c>
      <c r="R6" s="6"/>
      <c r="S6" s="6"/>
      <c r="T6" s="6"/>
      <c r="U6" s="6"/>
    </row>
    <row r="7" customFormat="false" ht="18" hidden="false" customHeight="true" outlineLevel="0" collapsed="false">
      <c r="B7" s="3"/>
      <c r="C7" s="3"/>
      <c r="D7" s="3"/>
      <c r="E7" s="3"/>
      <c r="F7" s="3"/>
      <c r="G7" s="4"/>
      <c r="H7" s="4"/>
      <c r="I7" s="4"/>
      <c r="J7" s="4"/>
      <c r="K7" s="4"/>
      <c r="L7" s="5"/>
      <c r="M7" s="5"/>
      <c r="N7" s="5"/>
      <c r="O7" s="5"/>
      <c r="P7" s="5"/>
      <c r="Q7" s="6"/>
      <c r="R7" s="6"/>
      <c r="S7" s="6"/>
      <c r="T7" s="6"/>
      <c r="U7" s="6"/>
    </row>
    <row r="8" customFormat="false" ht="18" hidden="false" customHeight="true" outlineLevel="0" collapsed="false">
      <c r="B8" s="7" t="n">
        <f aca="false">SUM('Summary Data'!B2:B9)</f>
        <v>340</v>
      </c>
      <c r="C8" s="7"/>
      <c r="D8" s="7"/>
      <c r="E8" s="7"/>
      <c r="F8" s="7"/>
      <c r="G8" s="8" t="n">
        <f aca="false">'Summary Data'!D10</f>
        <v>0.0823529411764706</v>
      </c>
      <c r="H8" s="8"/>
      <c r="I8" s="8"/>
      <c r="J8" s="8"/>
      <c r="K8" s="8"/>
      <c r="L8" s="9" t="n">
        <f aca="false">SUM('Summary Data'!B2:B9)-SUM('Summary Data'!C2:C9)</f>
        <v>312</v>
      </c>
      <c r="M8" s="9"/>
      <c r="N8" s="9"/>
      <c r="O8" s="9"/>
      <c r="P8" s="9"/>
      <c r="Q8" s="10" t="n">
        <v>8</v>
      </c>
      <c r="R8" s="10"/>
      <c r="S8" s="10"/>
      <c r="T8" s="10"/>
      <c r="U8" s="10"/>
    </row>
    <row r="9" customFormat="false" ht="18" hidden="false" customHeight="true" outlineLevel="0" collapsed="false">
      <c r="B9" s="7"/>
      <c r="C9" s="7"/>
      <c r="D9" s="7"/>
      <c r="E9" s="7"/>
      <c r="F9" s="7"/>
      <c r="G9" s="8"/>
      <c r="H9" s="8"/>
      <c r="I9" s="8"/>
      <c r="J9" s="8"/>
      <c r="K9" s="8"/>
      <c r="L9" s="9"/>
      <c r="M9" s="9"/>
      <c r="N9" s="9"/>
      <c r="O9" s="9"/>
      <c r="P9" s="9"/>
      <c r="Q9" s="10"/>
      <c r="R9" s="10"/>
      <c r="S9" s="10"/>
      <c r="T9" s="10"/>
      <c r="U9" s="10"/>
    </row>
    <row r="10" customFormat="false" ht="9.75" hidden="false" customHeight="true" outlineLevel="0" collapsed="false"/>
    <row r="11" customFormat="false" ht="18" hidden="false" customHeight="true" outlineLevel="0" collapsed="false">
      <c r="B11" s="11" t="s">
        <v>6</v>
      </c>
      <c r="C11" s="11"/>
      <c r="D11" s="11"/>
      <c r="E11" s="11"/>
      <c r="F11" s="11"/>
      <c r="G11" s="11"/>
      <c r="H11" s="11"/>
      <c r="I11" s="11"/>
      <c r="J11" s="11"/>
      <c r="K11" s="11"/>
      <c r="L11" s="12" t="s">
        <v>7</v>
      </c>
      <c r="M11" s="12"/>
      <c r="N11" s="12"/>
      <c r="O11" s="12"/>
      <c r="P11" s="12"/>
      <c r="Q11" s="12"/>
      <c r="R11" s="12"/>
      <c r="S11" s="12"/>
      <c r="T11" s="12"/>
      <c r="U11" s="12"/>
    </row>
    <row r="12" customFormat="false" ht="18" hidden="false" customHeight="true" outlineLevel="0" collapsed="false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customFormat="false" ht="18" hidden="false" customHeight="true" outlineLevel="0" collapsed="false">
      <c r="B13" s="13" t="s">
        <v>8</v>
      </c>
      <c r="C13" s="13"/>
      <c r="D13" s="13" t="s">
        <v>9</v>
      </c>
      <c r="E13" s="13"/>
      <c r="F13" s="13" t="s">
        <v>10</v>
      </c>
      <c r="G13" s="13"/>
      <c r="H13" s="13" t="s">
        <v>11</v>
      </c>
      <c r="I13" s="13"/>
      <c r="J13" s="13" t="s">
        <v>12</v>
      </c>
      <c r="K13" s="13"/>
      <c r="L13" s="14" t="s">
        <v>13</v>
      </c>
      <c r="M13" s="14"/>
      <c r="N13" s="14"/>
      <c r="O13" s="14"/>
      <c r="P13" s="14"/>
      <c r="Q13" s="14"/>
      <c r="R13" s="14"/>
      <c r="S13" s="14"/>
      <c r="T13" s="14"/>
      <c r="U13" s="14"/>
    </row>
    <row r="14" customFormat="false" ht="18" hidden="false" customHeight="true" outlineLevel="0" collapsed="false">
      <c r="B14" s="15" t="s">
        <v>14</v>
      </c>
      <c r="C14" s="15"/>
      <c r="D14" s="16" t="n">
        <v>85</v>
      </c>
      <c r="E14" s="16"/>
      <c r="F14" s="16" t="n">
        <v>4</v>
      </c>
      <c r="G14" s="16"/>
      <c r="H14" s="17" t="n">
        <v>0.05</v>
      </c>
      <c r="I14" s="17"/>
      <c r="J14" s="18" t="n">
        <v>0.25</v>
      </c>
      <c r="K14" s="18"/>
      <c r="L14" s="19" t="s">
        <v>15</v>
      </c>
      <c r="M14" s="19"/>
      <c r="N14" s="19"/>
      <c r="O14" s="20" t="n">
        <v>196</v>
      </c>
      <c r="P14" s="20"/>
      <c r="Q14" s="20"/>
      <c r="R14" s="21" t="n">
        <v>0.576470588235294</v>
      </c>
      <c r="S14" s="21"/>
      <c r="T14" s="21"/>
      <c r="U14" s="21"/>
    </row>
    <row r="15" customFormat="false" ht="18" hidden="false" customHeight="true" outlineLevel="0" collapsed="false">
      <c r="B15" s="22" t="s">
        <v>16</v>
      </c>
      <c r="C15" s="22"/>
      <c r="D15" s="23" t="n">
        <v>60</v>
      </c>
      <c r="E15" s="23"/>
      <c r="F15" s="23" t="n">
        <v>7</v>
      </c>
      <c r="G15" s="23"/>
      <c r="H15" s="24" t="n">
        <v>0.12</v>
      </c>
      <c r="I15" s="24"/>
      <c r="J15" s="25" t="n">
        <v>0.176470588235294</v>
      </c>
      <c r="K15" s="25"/>
      <c r="L15" s="26" t="s">
        <v>17</v>
      </c>
      <c r="M15" s="26"/>
      <c r="N15" s="26"/>
      <c r="O15" s="27" t="n">
        <v>144</v>
      </c>
      <c r="P15" s="27"/>
      <c r="Q15" s="27"/>
      <c r="R15" s="28" t="n">
        <v>0.423529411764706</v>
      </c>
      <c r="S15" s="28"/>
      <c r="T15" s="28"/>
      <c r="U15" s="28"/>
    </row>
    <row r="16" customFormat="false" ht="18" hidden="false" customHeight="true" outlineLevel="0" collapsed="false">
      <c r="B16" s="15" t="s">
        <v>18</v>
      </c>
      <c r="C16" s="15"/>
      <c r="D16" s="16" t="n">
        <v>20</v>
      </c>
      <c r="E16" s="16"/>
      <c r="F16" s="16" t="n">
        <v>2</v>
      </c>
      <c r="G16" s="16"/>
      <c r="H16" s="18" t="n">
        <v>0.08</v>
      </c>
      <c r="I16" s="18"/>
      <c r="J16" s="18" t="n">
        <v>0.0588235294117647</v>
      </c>
      <c r="K16" s="18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customFormat="false" ht="18" hidden="false" customHeight="true" outlineLevel="0" collapsed="false">
      <c r="B17" s="22" t="s">
        <v>19</v>
      </c>
      <c r="C17" s="22"/>
      <c r="D17" s="23" t="n">
        <v>35</v>
      </c>
      <c r="E17" s="23"/>
      <c r="F17" s="23" t="n">
        <v>2</v>
      </c>
      <c r="G17" s="23"/>
      <c r="H17" s="30" t="n">
        <v>0.06</v>
      </c>
      <c r="I17" s="30"/>
      <c r="J17" s="25" t="n">
        <v>0.102941176470588</v>
      </c>
      <c r="K17" s="25"/>
      <c r="L17" s="14" t="s">
        <v>20</v>
      </c>
      <c r="M17" s="14"/>
      <c r="N17" s="14"/>
      <c r="O17" s="14"/>
      <c r="P17" s="14"/>
      <c r="Q17" s="14"/>
      <c r="R17" s="14"/>
      <c r="S17" s="14"/>
      <c r="T17" s="14"/>
      <c r="U17" s="14"/>
    </row>
    <row r="18" customFormat="false" ht="18" hidden="false" customHeight="true" outlineLevel="0" collapsed="false">
      <c r="B18" s="15" t="s">
        <v>21</v>
      </c>
      <c r="C18" s="15"/>
      <c r="D18" s="16" t="n">
        <v>30</v>
      </c>
      <c r="E18" s="16"/>
      <c r="F18" s="16" t="n">
        <v>4</v>
      </c>
      <c r="G18" s="16"/>
      <c r="H18" s="31" t="n">
        <v>0.15</v>
      </c>
      <c r="I18" s="31"/>
      <c r="J18" s="18" t="n">
        <v>0.0882352941176471</v>
      </c>
      <c r="K18" s="18"/>
      <c r="L18" s="32" t="s">
        <v>22</v>
      </c>
      <c r="M18" s="32"/>
      <c r="N18" s="32"/>
      <c r="O18" s="33" t="n">
        <v>95</v>
      </c>
      <c r="P18" s="33"/>
      <c r="Q18" s="33"/>
      <c r="R18" s="34" t="n">
        <v>0.279411764705882</v>
      </c>
      <c r="S18" s="34"/>
      <c r="T18" s="34"/>
      <c r="U18" s="34"/>
    </row>
    <row r="19" customFormat="false" ht="18" hidden="false" customHeight="true" outlineLevel="0" collapsed="false">
      <c r="B19" s="22" t="s">
        <v>23</v>
      </c>
      <c r="C19" s="22"/>
      <c r="D19" s="23" t="n">
        <v>55</v>
      </c>
      <c r="E19" s="23"/>
      <c r="F19" s="23" t="n">
        <v>5</v>
      </c>
      <c r="G19" s="23"/>
      <c r="H19" s="25" t="n">
        <v>0.09</v>
      </c>
      <c r="I19" s="25"/>
      <c r="J19" s="25" t="n">
        <v>0.161764705882353</v>
      </c>
      <c r="K19" s="25"/>
      <c r="L19" s="19" t="s">
        <v>24</v>
      </c>
      <c r="M19" s="19"/>
      <c r="N19" s="19"/>
      <c r="O19" s="20" t="n">
        <v>128</v>
      </c>
      <c r="P19" s="20"/>
      <c r="Q19" s="20"/>
      <c r="R19" s="21" t="n">
        <v>0.376470588235294</v>
      </c>
      <c r="S19" s="21"/>
      <c r="T19" s="21"/>
      <c r="U19" s="21"/>
    </row>
    <row r="20" customFormat="false" ht="18" hidden="false" customHeight="true" outlineLevel="0" collapsed="false">
      <c r="B20" s="15" t="s">
        <v>25</v>
      </c>
      <c r="C20" s="15"/>
      <c r="D20" s="16" t="n">
        <v>12</v>
      </c>
      <c r="E20" s="16"/>
      <c r="F20" s="16" t="n">
        <v>0</v>
      </c>
      <c r="G20" s="16"/>
      <c r="H20" s="17" t="n">
        <v>0.04</v>
      </c>
      <c r="I20" s="17"/>
      <c r="J20" s="18" t="n">
        <v>0.0352941176470588</v>
      </c>
      <c r="K20" s="18"/>
      <c r="L20" s="26" t="s">
        <v>26</v>
      </c>
      <c r="M20" s="26"/>
      <c r="N20" s="26"/>
      <c r="O20" s="27" t="n">
        <v>86</v>
      </c>
      <c r="P20" s="27"/>
      <c r="Q20" s="27"/>
      <c r="R20" s="28" t="n">
        <v>0.252941176470588</v>
      </c>
      <c r="S20" s="28"/>
      <c r="T20" s="28"/>
      <c r="U20" s="28"/>
    </row>
    <row r="21" customFormat="false" ht="18" hidden="false" customHeight="true" outlineLevel="0" collapsed="false">
      <c r="B21" s="22" t="s">
        <v>27</v>
      </c>
      <c r="C21" s="22"/>
      <c r="D21" s="23" t="n">
        <v>43</v>
      </c>
      <c r="E21" s="23"/>
      <c r="F21" s="23" t="n">
        <v>4</v>
      </c>
      <c r="G21" s="23"/>
      <c r="H21" s="25" t="n">
        <v>0.1</v>
      </c>
      <c r="I21" s="25"/>
      <c r="J21" s="25" t="n">
        <v>0.126470588235294</v>
      </c>
      <c r="K21" s="25"/>
      <c r="L21" s="35" t="s">
        <v>28</v>
      </c>
      <c r="M21" s="35"/>
      <c r="N21" s="35"/>
      <c r="O21" s="36" t="n">
        <v>31</v>
      </c>
      <c r="P21" s="36"/>
      <c r="Q21" s="36"/>
      <c r="R21" s="37" t="n">
        <v>0.0911764705882353</v>
      </c>
      <c r="S21" s="37"/>
      <c r="T21" s="37"/>
      <c r="U21" s="37"/>
    </row>
    <row r="22" customFormat="false" ht="18" hidden="false" customHeight="true" outlineLevel="0" collapsed="false">
      <c r="B22" s="38" t="s">
        <v>29</v>
      </c>
      <c r="C22" s="38"/>
      <c r="D22" s="39" t="n">
        <v>340</v>
      </c>
      <c r="E22" s="39"/>
      <c r="F22" s="38" t="n">
        <v>28</v>
      </c>
      <c r="G22" s="38"/>
      <c r="H22" s="40" t="n">
        <f aca="false">F22/D22</f>
        <v>0.0823529411764706</v>
      </c>
      <c r="I22" s="40"/>
      <c r="J22" s="38" t="s">
        <v>30</v>
      </c>
      <c r="K22" s="38"/>
    </row>
    <row r="23" customFormat="false" ht="9.75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>
      <c r="B55" s="41" t="s">
        <v>31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</row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83">
    <mergeCell ref="B1:U3"/>
    <mergeCell ref="B4:U4"/>
    <mergeCell ref="B6:F7"/>
    <mergeCell ref="G6:K7"/>
    <mergeCell ref="L6:P7"/>
    <mergeCell ref="Q6:U7"/>
    <mergeCell ref="B8:F9"/>
    <mergeCell ref="G8:K9"/>
    <mergeCell ref="L8:P9"/>
    <mergeCell ref="Q8:U9"/>
    <mergeCell ref="B11:K12"/>
    <mergeCell ref="L11:U12"/>
    <mergeCell ref="B13:C13"/>
    <mergeCell ref="D13:E13"/>
    <mergeCell ref="F13:G13"/>
    <mergeCell ref="H13:I13"/>
    <mergeCell ref="J13:K13"/>
    <mergeCell ref="L13:U13"/>
    <mergeCell ref="B14:C14"/>
    <mergeCell ref="D14:E14"/>
    <mergeCell ref="F14:G14"/>
    <mergeCell ref="H14:I14"/>
    <mergeCell ref="J14:K14"/>
    <mergeCell ref="L14:N14"/>
    <mergeCell ref="O14:Q14"/>
    <mergeCell ref="R14:U14"/>
    <mergeCell ref="B15:C15"/>
    <mergeCell ref="D15:E15"/>
    <mergeCell ref="F15:G15"/>
    <mergeCell ref="H15:I15"/>
    <mergeCell ref="J15:K15"/>
    <mergeCell ref="L15:N15"/>
    <mergeCell ref="O15:Q15"/>
    <mergeCell ref="R15:U15"/>
    <mergeCell ref="B16:C16"/>
    <mergeCell ref="D16:E16"/>
    <mergeCell ref="F16:G16"/>
    <mergeCell ref="H16:I16"/>
    <mergeCell ref="J16:K16"/>
    <mergeCell ref="B17:C17"/>
    <mergeCell ref="D17:E17"/>
    <mergeCell ref="F17:G17"/>
    <mergeCell ref="H17:I17"/>
    <mergeCell ref="J17:K17"/>
    <mergeCell ref="L17:U17"/>
    <mergeCell ref="B18:C18"/>
    <mergeCell ref="D18:E18"/>
    <mergeCell ref="F18:G18"/>
    <mergeCell ref="H18:I18"/>
    <mergeCell ref="J18:K18"/>
    <mergeCell ref="L18:N18"/>
    <mergeCell ref="O18:Q18"/>
    <mergeCell ref="R18:U18"/>
    <mergeCell ref="B19:C19"/>
    <mergeCell ref="D19:E19"/>
    <mergeCell ref="F19:G19"/>
    <mergeCell ref="H19:I19"/>
    <mergeCell ref="J19:K19"/>
    <mergeCell ref="L19:N19"/>
    <mergeCell ref="O19:Q19"/>
    <mergeCell ref="R19:U19"/>
    <mergeCell ref="B20:C20"/>
    <mergeCell ref="D20:E20"/>
    <mergeCell ref="F20:G20"/>
    <mergeCell ref="H20:I20"/>
    <mergeCell ref="J20:K20"/>
    <mergeCell ref="L20:N20"/>
    <mergeCell ref="O20:Q20"/>
    <mergeCell ref="R20:U20"/>
    <mergeCell ref="B21:C21"/>
    <mergeCell ref="D21:E21"/>
    <mergeCell ref="F21:G21"/>
    <mergeCell ref="H21:I21"/>
    <mergeCell ref="J21:K21"/>
    <mergeCell ref="L21:N21"/>
    <mergeCell ref="O21:Q21"/>
    <mergeCell ref="R21:U21"/>
    <mergeCell ref="B22:C22"/>
    <mergeCell ref="D22:E22"/>
    <mergeCell ref="F22:G22"/>
    <mergeCell ref="H22:I22"/>
    <mergeCell ref="J22:K22"/>
    <mergeCell ref="B55:U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42" t="s">
        <v>32</v>
      </c>
      <c r="B1" s="42" t="s">
        <v>33</v>
      </c>
      <c r="C1" s="42" t="s">
        <v>8</v>
      </c>
      <c r="D1" s="42" t="s">
        <v>34</v>
      </c>
      <c r="E1" s="42" t="s">
        <v>35</v>
      </c>
      <c r="F1" s="42" t="s">
        <v>36</v>
      </c>
      <c r="G1" s="42" t="s">
        <v>37</v>
      </c>
      <c r="H1" s="42" t="s">
        <v>38</v>
      </c>
      <c r="I1" s="42" t="s">
        <v>39</v>
      </c>
    </row>
    <row r="2" customFormat="false" ht="15" hidden="false" customHeight="false" outlineLevel="0" collapsed="false">
      <c r="A2" s="43" t="s">
        <v>40</v>
      </c>
      <c r="B2" s="43" t="s">
        <v>41</v>
      </c>
      <c r="C2" s="43" t="s">
        <v>14</v>
      </c>
      <c r="D2" s="43" t="s">
        <v>42</v>
      </c>
      <c r="E2" s="43" t="n">
        <v>36</v>
      </c>
      <c r="F2" s="43" t="s">
        <v>43</v>
      </c>
      <c r="G2" s="43" t="n">
        <v>2024</v>
      </c>
      <c r="H2" s="43" t="s">
        <v>44</v>
      </c>
      <c r="I2" s="43" t="n">
        <v>136601</v>
      </c>
    </row>
    <row r="3" customFormat="false" ht="15" hidden="false" customHeight="false" outlineLevel="0" collapsed="false">
      <c r="A3" s="44" t="s">
        <v>45</v>
      </c>
      <c r="B3" s="44" t="s">
        <v>46</v>
      </c>
      <c r="C3" s="44" t="s">
        <v>14</v>
      </c>
      <c r="D3" s="44" t="s">
        <v>47</v>
      </c>
      <c r="E3" s="44" t="n">
        <v>55</v>
      </c>
      <c r="F3" s="44" t="s">
        <v>48</v>
      </c>
      <c r="G3" s="44" t="n">
        <v>2017</v>
      </c>
      <c r="H3" s="44" t="s">
        <v>44</v>
      </c>
      <c r="I3" s="44" t="n">
        <v>129597</v>
      </c>
    </row>
    <row r="4" customFormat="false" ht="15" hidden="false" customHeight="false" outlineLevel="0" collapsed="false">
      <c r="A4" s="43" t="s">
        <v>49</v>
      </c>
      <c r="B4" s="43" t="s">
        <v>50</v>
      </c>
      <c r="C4" s="43" t="s">
        <v>14</v>
      </c>
      <c r="D4" s="43" t="s">
        <v>47</v>
      </c>
      <c r="E4" s="43" t="n">
        <v>40</v>
      </c>
      <c r="F4" s="43" t="s">
        <v>51</v>
      </c>
      <c r="G4" s="43" t="n">
        <v>2018</v>
      </c>
      <c r="H4" s="43" t="s">
        <v>44</v>
      </c>
      <c r="I4" s="43" t="n">
        <v>145675</v>
      </c>
    </row>
    <row r="5" customFormat="false" ht="15" hidden="false" customHeight="false" outlineLevel="0" collapsed="false">
      <c r="A5" s="44" t="s">
        <v>52</v>
      </c>
      <c r="B5" s="44" t="s">
        <v>53</v>
      </c>
      <c r="C5" s="44" t="s">
        <v>14</v>
      </c>
      <c r="D5" s="44" t="s">
        <v>42</v>
      </c>
      <c r="E5" s="44" t="n">
        <v>43</v>
      </c>
      <c r="F5" s="44" t="s">
        <v>54</v>
      </c>
      <c r="G5" s="44" t="n">
        <v>2024</v>
      </c>
      <c r="H5" s="44" t="s">
        <v>44</v>
      </c>
      <c r="I5" s="44" t="n">
        <v>59033</v>
      </c>
    </row>
    <row r="6" customFormat="false" ht="15" hidden="false" customHeight="false" outlineLevel="0" collapsed="false">
      <c r="A6" s="43" t="s">
        <v>55</v>
      </c>
      <c r="B6" s="43" t="s">
        <v>56</v>
      </c>
      <c r="C6" s="43" t="s">
        <v>14</v>
      </c>
      <c r="D6" s="43" t="s">
        <v>47</v>
      </c>
      <c r="E6" s="43" t="n">
        <v>43</v>
      </c>
      <c r="F6" s="43" t="s">
        <v>43</v>
      </c>
      <c r="G6" s="43" t="n">
        <v>2022</v>
      </c>
      <c r="H6" s="43" t="s">
        <v>44</v>
      </c>
      <c r="I6" s="43" t="n">
        <v>128306</v>
      </c>
    </row>
    <row r="7" customFormat="false" ht="15" hidden="false" customHeight="false" outlineLevel="0" collapsed="false">
      <c r="A7" s="44" t="s">
        <v>57</v>
      </c>
      <c r="B7" s="44" t="s">
        <v>58</v>
      </c>
      <c r="C7" s="44" t="s">
        <v>14</v>
      </c>
      <c r="D7" s="44" t="s">
        <v>42</v>
      </c>
      <c r="E7" s="44" t="n">
        <v>52</v>
      </c>
      <c r="F7" s="44" t="s">
        <v>54</v>
      </c>
      <c r="G7" s="44" t="n">
        <v>2018</v>
      </c>
      <c r="H7" s="44" t="s">
        <v>44</v>
      </c>
      <c r="I7" s="44" t="n">
        <v>50645</v>
      </c>
    </row>
    <row r="8" customFormat="false" ht="15" hidden="false" customHeight="false" outlineLevel="0" collapsed="false">
      <c r="A8" s="43" t="s">
        <v>59</v>
      </c>
      <c r="B8" s="43" t="s">
        <v>60</v>
      </c>
      <c r="C8" s="43" t="s">
        <v>14</v>
      </c>
      <c r="D8" s="43" t="s">
        <v>47</v>
      </c>
      <c r="E8" s="43" t="n">
        <v>56</v>
      </c>
      <c r="F8" s="43" t="s">
        <v>61</v>
      </c>
      <c r="G8" s="43" t="n">
        <v>2016</v>
      </c>
      <c r="H8" s="43" t="s">
        <v>44</v>
      </c>
      <c r="I8" s="43" t="n">
        <v>137929</v>
      </c>
    </row>
    <row r="9" customFormat="false" ht="15" hidden="false" customHeight="false" outlineLevel="0" collapsed="false">
      <c r="A9" s="44" t="s">
        <v>62</v>
      </c>
      <c r="B9" s="44" t="s">
        <v>63</v>
      </c>
      <c r="C9" s="44" t="s">
        <v>14</v>
      </c>
      <c r="D9" s="44" t="s">
        <v>47</v>
      </c>
      <c r="E9" s="44" t="n">
        <v>34</v>
      </c>
      <c r="F9" s="44" t="s">
        <v>54</v>
      </c>
      <c r="G9" s="44" t="n">
        <v>2018</v>
      </c>
      <c r="H9" s="44" t="s">
        <v>44</v>
      </c>
      <c r="I9" s="44" t="n">
        <v>148459</v>
      </c>
    </row>
    <row r="10" customFormat="false" ht="15" hidden="false" customHeight="false" outlineLevel="0" collapsed="false">
      <c r="A10" s="43" t="s">
        <v>64</v>
      </c>
      <c r="B10" s="43" t="s">
        <v>65</v>
      </c>
      <c r="C10" s="43" t="s">
        <v>14</v>
      </c>
      <c r="D10" s="43" t="s">
        <v>47</v>
      </c>
      <c r="E10" s="43" t="n">
        <v>22</v>
      </c>
      <c r="F10" s="43" t="s">
        <v>43</v>
      </c>
      <c r="G10" s="43" t="n">
        <v>2024</v>
      </c>
      <c r="H10" s="43" t="s">
        <v>44</v>
      </c>
      <c r="I10" s="43" t="n">
        <v>125145</v>
      </c>
    </row>
    <row r="11" customFormat="false" ht="15" hidden="false" customHeight="false" outlineLevel="0" collapsed="false">
      <c r="A11" s="44" t="s">
        <v>66</v>
      </c>
      <c r="B11" s="44" t="s">
        <v>67</v>
      </c>
      <c r="C11" s="44" t="s">
        <v>14</v>
      </c>
      <c r="D11" s="44" t="s">
        <v>42</v>
      </c>
      <c r="E11" s="44" t="n">
        <v>34</v>
      </c>
      <c r="F11" s="44" t="s">
        <v>48</v>
      </c>
      <c r="G11" s="44" t="n">
        <v>2017</v>
      </c>
      <c r="H11" s="44" t="s">
        <v>44</v>
      </c>
      <c r="I11" s="44" t="n">
        <v>149540</v>
      </c>
    </row>
    <row r="12" customFormat="false" ht="15" hidden="false" customHeight="false" outlineLevel="0" collapsed="false">
      <c r="A12" s="43" t="s">
        <v>68</v>
      </c>
      <c r="B12" s="43" t="s">
        <v>69</v>
      </c>
      <c r="C12" s="43" t="s">
        <v>14</v>
      </c>
      <c r="D12" s="43" t="s">
        <v>47</v>
      </c>
      <c r="E12" s="43" t="n">
        <v>32</v>
      </c>
      <c r="F12" s="43" t="s">
        <v>61</v>
      </c>
      <c r="G12" s="43" t="n">
        <v>2024</v>
      </c>
      <c r="H12" s="43" t="s">
        <v>44</v>
      </c>
      <c r="I12" s="43" t="n">
        <v>50595</v>
      </c>
    </row>
    <row r="13" customFormat="false" ht="15" hidden="false" customHeight="false" outlineLevel="0" collapsed="false">
      <c r="A13" s="44" t="s">
        <v>70</v>
      </c>
      <c r="B13" s="44" t="s">
        <v>71</v>
      </c>
      <c r="C13" s="44" t="s">
        <v>14</v>
      </c>
      <c r="D13" s="44" t="s">
        <v>47</v>
      </c>
      <c r="E13" s="44" t="n">
        <v>35</v>
      </c>
      <c r="F13" s="44" t="s">
        <v>51</v>
      </c>
      <c r="G13" s="44" t="n">
        <v>2020</v>
      </c>
      <c r="H13" s="44" t="s">
        <v>44</v>
      </c>
      <c r="I13" s="44" t="n">
        <v>130345</v>
      </c>
    </row>
    <row r="14" customFormat="false" ht="15" hidden="false" customHeight="false" outlineLevel="0" collapsed="false">
      <c r="A14" s="43" t="s">
        <v>72</v>
      </c>
      <c r="B14" s="43" t="s">
        <v>73</v>
      </c>
      <c r="C14" s="43" t="s">
        <v>14</v>
      </c>
      <c r="D14" s="43" t="s">
        <v>47</v>
      </c>
      <c r="E14" s="43" t="n">
        <v>45</v>
      </c>
      <c r="F14" s="43" t="s">
        <v>54</v>
      </c>
      <c r="G14" s="43" t="n">
        <v>2018</v>
      </c>
      <c r="H14" s="43" t="s">
        <v>44</v>
      </c>
      <c r="I14" s="43" t="n">
        <v>147216</v>
      </c>
    </row>
    <row r="15" customFormat="false" ht="15" hidden="false" customHeight="false" outlineLevel="0" collapsed="false">
      <c r="A15" s="45" t="s">
        <v>74</v>
      </c>
      <c r="B15" s="45" t="s">
        <v>75</v>
      </c>
      <c r="C15" s="45" t="s">
        <v>14</v>
      </c>
      <c r="D15" s="45" t="s">
        <v>42</v>
      </c>
      <c r="E15" s="45" t="n">
        <v>27</v>
      </c>
      <c r="F15" s="45" t="s">
        <v>48</v>
      </c>
      <c r="G15" s="45" t="n">
        <v>2023</v>
      </c>
      <c r="H15" s="45" t="s">
        <v>76</v>
      </c>
      <c r="I15" s="45" t="n">
        <v>95396</v>
      </c>
    </row>
    <row r="16" customFormat="false" ht="15" hidden="false" customHeight="false" outlineLevel="0" collapsed="false">
      <c r="A16" s="43" t="s">
        <v>77</v>
      </c>
      <c r="B16" s="43" t="s">
        <v>78</v>
      </c>
      <c r="C16" s="43" t="s">
        <v>14</v>
      </c>
      <c r="D16" s="43" t="s">
        <v>42</v>
      </c>
      <c r="E16" s="43" t="n">
        <v>57</v>
      </c>
      <c r="F16" s="43" t="s">
        <v>48</v>
      </c>
      <c r="G16" s="43" t="n">
        <v>2023</v>
      </c>
      <c r="H16" s="43" t="s">
        <v>44</v>
      </c>
      <c r="I16" s="43" t="n">
        <v>139683</v>
      </c>
    </row>
    <row r="17" customFormat="false" ht="15" hidden="false" customHeight="false" outlineLevel="0" collapsed="false">
      <c r="A17" s="45" t="s">
        <v>79</v>
      </c>
      <c r="B17" s="45" t="s">
        <v>80</v>
      </c>
      <c r="C17" s="45" t="s">
        <v>14</v>
      </c>
      <c r="D17" s="45" t="s">
        <v>42</v>
      </c>
      <c r="E17" s="45" t="n">
        <v>39</v>
      </c>
      <c r="F17" s="45" t="s">
        <v>54</v>
      </c>
      <c r="G17" s="45" t="n">
        <v>2024</v>
      </c>
      <c r="H17" s="45" t="s">
        <v>81</v>
      </c>
      <c r="I17" s="45" t="n">
        <v>98536</v>
      </c>
    </row>
    <row r="18" customFormat="false" ht="15" hidden="false" customHeight="false" outlineLevel="0" collapsed="false">
      <c r="A18" s="43" t="s">
        <v>82</v>
      </c>
      <c r="B18" s="43" t="s">
        <v>83</v>
      </c>
      <c r="C18" s="43" t="s">
        <v>14</v>
      </c>
      <c r="D18" s="43" t="s">
        <v>42</v>
      </c>
      <c r="E18" s="43" t="n">
        <v>58</v>
      </c>
      <c r="F18" s="43" t="s">
        <v>54</v>
      </c>
      <c r="G18" s="43" t="n">
        <v>2018</v>
      </c>
      <c r="H18" s="43" t="s">
        <v>44</v>
      </c>
      <c r="I18" s="43" t="n">
        <v>55690</v>
      </c>
    </row>
    <row r="19" customFormat="false" ht="15" hidden="false" customHeight="false" outlineLevel="0" collapsed="false">
      <c r="A19" s="45" t="s">
        <v>84</v>
      </c>
      <c r="B19" s="45" t="s">
        <v>85</v>
      </c>
      <c r="C19" s="45" t="s">
        <v>14</v>
      </c>
      <c r="D19" s="45" t="s">
        <v>42</v>
      </c>
      <c r="E19" s="45" t="n">
        <v>39</v>
      </c>
      <c r="F19" s="45" t="s">
        <v>51</v>
      </c>
      <c r="G19" s="45" t="n">
        <v>2023</v>
      </c>
      <c r="H19" s="45" t="s">
        <v>76</v>
      </c>
      <c r="I19" s="45" t="n">
        <v>69037</v>
      </c>
    </row>
    <row r="20" customFormat="false" ht="15" hidden="false" customHeight="false" outlineLevel="0" collapsed="false">
      <c r="A20" s="43" t="s">
        <v>86</v>
      </c>
      <c r="B20" s="43" t="s">
        <v>56</v>
      </c>
      <c r="C20" s="43" t="s">
        <v>14</v>
      </c>
      <c r="D20" s="43" t="s">
        <v>47</v>
      </c>
      <c r="E20" s="43" t="n">
        <v>50</v>
      </c>
      <c r="F20" s="43" t="s">
        <v>51</v>
      </c>
      <c r="G20" s="43" t="n">
        <v>2017</v>
      </c>
      <c r="H20" s="43" t="s">
        <v>44</v>
      </c>
      <c r="I20" s="43" t="n">
        <v>69172</v>
      </c>
    </row>
    <row r="21" customFormat="false" ht="15" hidden="false" customHeight="false" outlineLevel="0" collapsed="false">
      <c r="A21" s="44" t="s">
        <v>87</v>
      </c>
      <c r="B21" s="44" t="s">
        <v>88</v>
      </c>
      <c r="C21" s="44" t="s">
        <v>14</v>
      </c>
      <c r="D21" s="44" t="s">
        <v>42</v>
      </c>
      <c r="E21" s="44" t="n">
        <v>49</v>
      </c>
      <c r="F21" s="44" t="s">
        <v>48</v>
      </c>
      <c r="G21" s="44" t="n">
        <v>2018</v>
      </c>
      <c r="H21" s="44" t="s">
        <v>44</v>
      </c>
      <c r="I21" s="44" t="n">
        <v>99413</v>
      </c>
    </row>
    <row r="22" customFormat="false" ht="15" hidden="false" customHeight="false" outlineLevel="0" collapsed="false">
      <c r="A22" s="46" t="s">
        <v>89</v>
      </c>
      <c r="B22" s="46" t="s">
        <v>90</v>
      </c>
      <c r="C22" s="46" t="s">
        <v>14</v>
      </c>
      <c r="D22" s="46" t="s">
        <v>47</v>
      </c>
      <c r="E22" s="46" t="n">
        <v>39</v>
      </c>
      <c r="F22" s="46" t="s">
        <v>51</v>
      </c>
      <c r="G22" s="46" t="n">
        <v>2016</v>
      </c>
      <c r="H22" s="46" t="s">
        <v>81</v>
      </c>
      <c r="I22" s="46" t="n">
        <v>96875</v>
      </c>
    </row>
    <row r="23" customFormat="false" ht="15" hidden="false" customHeight="false" outlineLevel="0" collapsed="false">
      <c r="A23" s="44" t="s">
        <v>91</v>
      </c>
      <c r="B23" s="44" t="s">
        <v>92</v>
      </c>
      <c r="C23" s="44" t="s">
        <v>14</v>
      </c>
      <c r="D23" s="44" t="s">
        <v>47</v>
      </c>
      <c r="E23" s="44" t="n">
        <v>58</v>
      </c>
      <c r="F23" s="44" t="s">
        <v>51</v>
      </c>
      <c r="G23" s="44" t="n">
        <v>2021</v>
      </c>
      <c r="H23" s="44" t="s">
        <v>44</v>
      </c>
      <c r="I23" s="44" t="n">
        <v>71918</v>
      </c>
    </row>
    <row r="24" customFormat="false" ht="15" hidden="false" customHeight="false" outlineLevel="0" collapsed="false">
      <c r="A24" s="43" t="s">
        <v>93</v>
      </c>
      <c r="B24" s="43" t="s">
        <v>73</v>
      </c>
      <c r="C24" s="43" t="s">
        <v>14</v>
      </c>
      <c r="D24" s="43" t="s">
        <v>47</v>
      </c>
      <c r="E24" s="43" t="n">
        <v>50</v>
      </c>
      <c r="F24" s="43" t="s">
        <v>51</v>
      </c>
      <c r="G24" s="43" t="n">
        <v>2016</v>
      </c>
      <c r="H24" s="43" t="s">
        <v>44</v>
      </c>
      <c r="I24" s="43" t="n">
        <v>104169</v>
      </c>
    </row>
    <row r="25" customFormat="false" ht="15" hidden="false" customHeight="false" outlineLevel="0" collapsed="false">
      <c r="A25" s="45" t="s">
        <v>94</v>
      </c>
      <c r="B25" s="45" t="s">
        <v>95</v>
      </c>
      <c r="C25" s="45" t="s">
        <v>14</v>
      </c>
      <c r="D25" s="45" t="s">
        <v>47</v>
      </c>
      <c r="E25" s="45" t="n">
        <v>54</v>
      </c>
      <c r="F25" s="45" t="s">
        <v>51</v>
      </c>
      <c r="G25" s="45" t="n">
        <v>2017</v>
      </c>
      <c r="H25" s="45" t="s">
        <v>76</v>
      </c>
      <c r="I25" s="45" t="n">
        <v>113568</v>
      </c>
    </row>
    <row r="26" customFormat="false" ht="15" hidden="false" customHeight="false" outlineLevel="0" collapsed="false">
      <c r="A26" s="43" t="s">
        <v>96</v>
      </c>
      <c r="B26" s="43" t="s">
        <v>97</v>
      </c>
      <c r="C26" s="43" t="s">
        <v>14</v>
      </c>
      <c r="D26" s="43" t="s">
        <v>42</v>
      </c>
      <c r="E26" s="43" t="n">
        <v>58</v>
      </c>
      <c r="F26" s="43" t="s">
        <v>43</v>
      </c>
      <c r="G26" s="43" t="n">
        <v>2018</v>
      </c>
      <c r="H26" s="43" t="s">
        <v>44</v>
      </c>
      <c r="I26" s="43" t="n">
        <v>131299</v>
      </c>
    </row>
    <row r="27" customFormat="false" ht="15" hidden="false" customHeight="false" outlineLevel="0" collapsed="false">
      <c r="A27" s="44" t="s">
        <v>98</v>
      </c>
      <c r="B27" s="44" t="s">
        <v>99</v>
      </c>
      <c r="C27" s="44" t="s">
        <v>14</v>
      </c>
      <c r="D27" s="44" t="s">
        <v>47</v>
      </c>
      <c r="E27" s="44" t="n">
        <v>26</v>
      </c>
      <c r="F27" s="44" t="s">
        <v>54</v>
      </c>
      <c r="G27" s="44" t="n">
        <v>2023</v>
      </c>
      <c r="H27" s="44" t="s">
        <v>44</v>
      </c>
      <c r="I27" s="44" t="n">
        <v>42796</v>
      </c>
    </row>
    <row r="28" customFormat="false" ht="15" hidden="false" customHeight="false" outlineLevel="0" collapsed="false">
      <c r="A28" s="43" t="s">
        <v>100</v>
      </c>
      <c r="B28" s="43" t="s">
        <v>101</v>
      </c>
      <c r="C28" s="43" t="s">
        <v>14</v>
      </c>
      <c r="D28" s="43" t="s">
        <v>47</v>
      </c>
      <c r="E28" s="43" t="n">
        <v>37</v>
      </c>
      <c r="F28" s="43" t="s">
        <v>43</v>
      </c>
      <c r="G28" s="43" t="n">
        <v>2015</v>
      </c>
      <c r="H28" s="43" t="s">
        <v>44</v>
      </c>
      <c r="I28" s="43" t="n">
        <v>133794</v>
      </c>
    </row>
    <row r="29" customFormat="false" ht="15" hidden="false" customHeight="false" outlineLevel="0" collapsed="false">
      <c r="A29" s="44" t="s">
        <v>102</v>
      </c>
      <c r="B29" s="44" t="s">
        <v>103</v>
      </c>
      <c r="C29" s="44" t="s">
        <v>14</v>
      </c>
      <c r="D29" s="44" t="s">
        <v>47</v>
      </c>
      <c r="E29" s="44" t="n">
        <v>45</v>
      </c>
      <c r="F29" s="44" t="s">
        <v>51</v>
      </c>
      <c r="G29" s="44" t="n">
        <v>2015</v>
      </c>
      <c r="H29" s="44" t="s">
        <v>44</v>
      </c>
      <c r="I29" s="44" t="n">
        <v>78765</v>
      </c>
    </row>
    <row r="30" customFormat="false" ht="15" hidden="false" customHeight="false" outlineLevel="0" collapsed="false">
      <c r="A30" s="46" t="s">
        <v>104</v>
      </c>
      <c r="B30" s="46" t="s">
        <v>105</v>
      </c>
      <c r="C30" s="46" t="s">
        <v>14</v>
      </c>
      <c r="D30" s="46" t="s">
        <v>47</v>
      </c>
      <c r="E30" s="46" t="n">
        <v>27</v>
      </c>
      <c r="F30" s="46" t="s">
        <v>54</v>
      </c>
      <c r="G30" s="46" t="n">
        <v>2021</v>
      </c>
      <c r="H30" s="46" t="s">
        <v>76</v>
      </c>
      <c r="I30" s="46" t="n">
        <v>106537</v>
      </c>
    </row>
    <row r="31" customFormat="false" ht="15" hidden="false" customHeight="false" outlineLevel="0" collapsed="false">
      <c r="A31" s="44" t="s">
        <v>106</v>
      </c>
      <c r="B31" s="44" t="s">
        <v>107</v>
      </c>
      <c r="C31" s="44" t="s">
        <v>14</v>
      </c>
      <c r="D31" s="44" t="s">
        <v>47</v>
      </c>
      <c r="E31" s="44" t="n">
        <v>46</v>
      </c>
      <c r="F31" s="44" t="s">
        <v>51</v>
      </c>
      <c r="G31" s="44" t="n">
        <v>2021</v>
      </c>
      <c r="H31" s="44" t="s">
        <v>44</v>
      </c>
      <c r="I31" s="44" t="n">
        <v>118700</v>
      </c>
    </row>
    <row r="32" customFormat="false" ht="15" hidden="false" customHeight="false" outlineLevel="0" collapsed="false">
      <c r="A32" s="43" t="s">
        <v>108</v>
      </c>
      <c r="B32" s="43" t="s">
        <v>109</v>
      </c>
      <c r="C32" s="43" t="s">
        <v>14</v>
      </c>
      <c r="D32" s="43" t="s">
        <v>47</v>
      </c>
      <c r="E32" s="43" t="n">
        <v>27</v>
      </c>
      <c r="F32" s="43" t="s">
        <v>54</v>
      </c>
      <c r="G32" s="43" t="n">
        <v>2018</v>
      </c>
      <c r="H32" s="43" t="s">
        <v>44</v>
      </c>
      <c r="I32" s="43" t="n">
        <v>91546</v>
      </c>
    </row>
    <row r="33" customFormat="false" ht="15" hidden="false" customHeight="false" outlineLevel="0" collapsed="false">
      <c r="A33" s="44" t="s">
        <v>110</v>
      </c>
      <c r="B33" s="44" t="s">
        <v>67</v>
      </c>
      <c r="C33" s="44" t="s">
        <v>14</v>
      </c>
      <c r="D33" s="44" t="s">
        <v>42</v>
      </c>
      <c r="E33" s="44" t="n">
        <v>53</v>
      </c>
      <c r="F33" s="44" t="s">
        <v>51</v>
      </c>
      <c r="G33" s="44" t="n">
        <v>2024</v>
      </c>
      <c r="H33" s="44" t="s">
        <v>44</v>
      </c>
      <c r="I33" s="44" t="n">
        <v>66462</v>
      </c>
    </row>
    <row r="34" customFormat="false" ht="15" hidden="false" customHeight="false" outlineLevel="0" collapsed="false">
      <c r="A34" s="43" t="s">
        <v>111</v>
      </c>
      <c r="B34" s="43" t="s">
        <v>112</v>
      </c>
      <c r="C34" s="43" t="s">
        <v>14</v>
      </c>
      <c r="D34" s="43" t="s">
        <v>47</v>
      </c>
      <c r="E34" s="43" t="n">
        <v>43</v>
      </c>
      <c r="F34" s="43" t="s">
        <v>48</v>
      </c>
      <c r="G34" s="43" t="n">
        <v>2018</v>
      </c>
      <c r="H34" s="43" t="s">
        <v>44</v>
      </c>
      <c r="I34" s="43" t="n">
        <v>111779</v>
      </c>
    </row>
    <row r="35" customFormat="false" ht="15" hidden="false" customHeight="false" outlineLevel="0" collapsed="false">
      <c r="A35" s="44" t="s">
        <v>113</v>
      </c>
      <c r="B35" s="44" t="s">
        <v>114</v>
      </c>
      <c r="C35" s="44" t="s">
        <v>14</v>
      </c>
      <c r="D35" s="44" t="s">
        <v>47</v>
      </c>
      <c r="E35" s="44" t="n">
        <v>36</v>
      </c>
      <c r="F35" s="44" t="s">
        <v>61</v>
      </c>
      <c r="G35" s="44" t="n">
        <v>2024</v>
      </c>
      <c r="H35" s="44" t="s">
        <v>44</v>
      </c>
      <c r="I35" s="44" t="n">
        <v>109555</v>
      </c>
    </row>
    <row r="36" customFormat="false" ht="15" hidden="false" customHeight="false" outlineLevel="0" collapsed="false">
      <c r="A36" s="43" t="s">
        <v>115</v>
      </c>
      <c r="B36" s="43" t="s">
        <v>78</v>
      </c>
      <c r="C36" s="43" t="s">
        <v>14</v>
      </c>
      <c r="D36" s="43" t="s">
        <v>47</v>
      </c>
      <c r="E36" s="43" t="n">
        <v>53</v>
      </c>
      <c r="F36" s="43" t="s">
        <v>48</v>
      </c>
      <c r="G36" s="43" t="n">
        <v>2018</v>
      </c>
      <c r="H36" s="43" t="s">
        <v>44</v>
      </c>
      <c r="I36" s="43" t="n">
        <v>73181</v>
      </c>
    </row>
    <row r="37" customFormat="false" ht="15" hidden="false" customHeight="false" outlineLevel="0" collapsed="false">
      <c r="A37" s="44" t="s">
        <v>116</v>
      </c>
      <c r="B37" s="44" t="s">
        <v>41</v>
      </c>
      <c r="C37" s="44" t="s">
        <v>14</v>
      </c>
      <c r="D37" s="44" t="s">
        <v>42</v>
      </c>
      <c r="E37" s="44" t="n">
        <v>58</v>
      </c>
      <c r="F37" s="44" t="s">
        <v>43</v>
      </c>
      <c r="G37" s="44" t="n">
        <v>2015</v>
      </c>
      <c r="H37" s="44" t="s">
        <v>44</v>
      </c>
      <c r="I37" s="44" t="n">
        <v>113825</v>
      </c>
    </row>
    <row r="38" customFormat="false" ht="15" hidden="false" customHeight="false" outlineLevel="0" collapsed="false">
      <c r="A38" s="43" t="s">
        <v>117</v>
      </c>
      <c r="B38" s="43" t="s">
        <v>118</v>
      </c>
      <c r="C38" s="43" t="s">
        <v>14</v>
      </c>
      <c r="D38" s="43" t="s">
        <v>42</v>
      </c>
      <c r="E38" s="43" t="n">
        <v>25</v>
      </c>
      <c r="F38" s="43" t="s">
        <v>43</v>
      </c>
      <c r="G38" s="43" t="n">
        <v>2018</v>
      </c>
      <c r="H38" s="43" t="s">
        <v>44</v>
      </c>
      <c r="I38" s="43" t="n">
        <v>113645</v>
      </c>
    </row>
    <row r="39" customFormat="false" ht="15" hidden="false" customHeight="false" outlineLevel="0" collapsed="false">
      <c r="A39" s="44" t="s">
        <v>119</v>
      </c>
      <c r="B39" s="44" t="s">
        <v>120</v>
      </c>
      <c r="C39" s="44" t="s">
        <v>14</v>
      </c>
      <c r="D39" s="44" t="s">
        <v>42</v>
      </c>
      <c r="E39" s="44" t="n">
        <v>51</v>
      </c>
      <c r="F39" s="44" t="s">
        <v>48</v>
      </c>
      <c r="G39" s="44" t="n">
        <v>2022</v>
      </c>
      <c r="H39" s="44" t="s">
        <v>44</v>
      </c>
      <c r="I39" s="44" t="n">
        <v>129778</v>
      </c>
    </row>
    <row r="40" customFormat="false" ht="15" hidden="false" customHeight="false" outlineLevel="0" collapsed="false">
      <c r="A40" s="46" t="s">
        <v>121</v>
      </c>
      <c r="B40" s="46" t="s">
        <v>122</v>
      </c>
      <c r="C40" s="46" t="s">
        <v>14</v>
      </c>
      <c r="D40" s="46" t="s">
        <v>42</v>
      </c>
      <c r="E40" s="46" t="n">
        <v>44</v>
      </c>
      <c r="F40" s="46" t="s">
        <v>51</v>
      </c>
      <c r="G40" s="46" t="n">
        <v>2018</v>
      </c>
      <c r="H40" s="46" t="s">
        <v>81</v>
      </c>
      <c r="I40" s="46" t="n">
        <v>61986</v>
      </c>
    </row>
    <row r="41" customFormat="false" ht="15" hidden="false" customHeight="false" outlineLevel="0" collapsed="false">
      <c r="A41" s="44" t="s">
        <v>123</v>
      </c>
      <c r="B41" s="44" t="s">
        <v>56</v>
      </c>
      <c r="C41" s="44" t="s">
        <v>14</v>
      </c>
      <c r="D41" s="44" t="s">
        <v>47</v>
      </c>
      <c r="E41" s="44" t="n">
        <v>38</v>
      </c>
      <c r="F41" s="44" t="s">
        <v>54</v>
      </c>
      <c r="G41" s="44" t="n">
        <v>2018</v>
      </c>
      <c r="H41" s="44" t="s">
        <v>44</v>
      </c>
      <c r="I41" s="44" t="n">
        <v>50881</v>
      </c>
    </row>
    <row r="42" customFormat="false" ht="15" hidden="false" customHeight="false" outlineLevel="0" collapsed="false">
      <c r="A42" s="43" t="s">
        <v>124</v>
      </c>
      <c r="B42" s="43" t="s">
        <v>75</v>
      </c>
      <c r="C42" s="43" t="s">
        <v>14</v>
      </c>
      <c r="D42" s="43" t="s">
        <v>42</v>
      </c>
      <c r="E42" s="43" t="n">
        <v>30</v>
      </c>
      <c r="F42" s="43" t="s">
        <v>54</v>
      </c>
      <c r="G42" s="43" t="n">
        <v>2015</v>
      </c>
      <c r="H42" s="43" t="s">
        <v>44</v>
      </c>
      <c r="I42" s="43" t="n">
        <v>147739</v>
      </c>
    </row>
    <row r="43" customFormat="false" ht="15" hidden="false" customHeight="false" outlineLevel="0" collapsed="false">
      <c r="A43" s="44" t="s">
        <v>125</v>
      </c>
      <c r="B43" s="44" t="s">
        <v>126</v>
      </c>
      <c r="C43" s="44" t="s">
        <v>14</v>
      </c>
      <c r="D43" s="44" t="s">
        <v>47</v>
      </c>
      <c r="E43" s="44" t="n">
        <v>23</v>
      </c>
      <c r="F43" s="44" t="s">
        <v>54</v>
      </c>
      <c r="G43" s="44" t="n">
        <v>2017</v>
      </c>
      <c r="H43" s="44" t="s">
        <v>44</v>
      </c>
      <c r="I43" s="44" t="n">
        <v>117916</v>
      </c>
    </row>
    <row r="44" customFormat="false" ht="15" hidden="false" customHeight="false" outlineLevel="0" collapsed="false">
      <c r="A44" s="43" t="s">
        <v>127</v>
      </c>
      <c r="B44" s="43" t="s">
        <v>118</v>
      </c>
      <c r="C44" s="43" t="s">
        <v>14</v>
      </c>
      <c r="D44" s="43" t="s">
        <v>47</v>
      </c>
      <c r="E44" s="43" t="n">
        <v>58</v>
      </c>
      <c r="F44" s="43" t="s">
        <v>48</v>
      </c>
      <c r="G44" s="43" t="n">
        <v>2015</v>
      </c>
      <c r="H44" s="43" t="s">
        <v>44</v>
      </c>
      <c r="I44" s="43" t="n">
        <v>69573</v>
      </c>
    </row>
    <row r="45" customFormat="false" ht="15" hidden="false" customHeight="false" outlineLevel="0" collapsed="false">
      <c r="A45" s="44" t="s">
        <v>128</v>
      </c>
      <c r="B45" s="44" t="s">
        <v>129</v>
      </c>
      <c r="C45" s="44" t="s">
        <v>14</v>
      </c>
      <c r="D45" s="44" t="s">
        <v>47</v>
      </c>
      <c r="E45" s="44" t="n">
        <v>40</v>
      </c>
      <c r="F45" s="44" t="s">
        <v>54</v>
      </c>
      <c r="G45" s="44" t="n">
        <v>2016</v>
      </c>
      <c r="H45" s="44" t="s">
        <v>44</v>
      </c>
      <c r="I45" s="44" t="n">
        <v>74205</v>
      </c>
    </row>
    <row r="46" customFormat="false" ht="15" hidden="false" customHeight="false" outlineLevel="0" collapsed="false">
      <c r="A46" s="43" t="s">
        <v>130</v>
      </c>
      <c r="B46" s="43" t="s">
        <v>131</v>
      </c>
      <c r="C46" s="43" t="s">
        <v>14</v>
      </c>
      <c r="D46" s="43" t="s">
        <v>47</v>
      </c>
      <c r="E46" s="43" t="n">
        <v>48</v>
      </c>
      <c r="F46" s="43" t="s">
        <v>48</v>
      </c>
      <c r="G46" s="43" t="n">
        <v>2016</v>
      </c>
      <c r="H46" s="43" t="s">
        <v>44</v>
      </c>
      <c r="I46" s="43" t="n">
        <v>65958</v>
      </c>
    </row>
    <row r="47" customFormat="false" ht="15" hidden="false" customHeight="false" outlineLevel="0" collapsed="false">
      <c r="A47" s="44" t="s">
        <v>132</v>
      </c>
      <c r="B47" s="44" t="s">
        <v>133</v>
      </c>
      <c r="C47" s="44" t="s">
        <v>14</v>
      </c>
      <c r="D47" s="44" t="s">
        <v>47</v>
      </c>
      <c r="E47" s="44" t="n">
        <v>53</v>
      </c>
      <c r="F47" s="44" t="s">
        <v>61</v>
      </c>
      <c r="G47" s="44" t="n">
        <v>2024</v>
      </c>
      <c r="H47" s="44" t="s">
        <v>44</v>
      </c>
      <c r="I47" s="44" t="n">
        <v>53197</v>
      </c>
    </row>
    <row r="48" customFormat="false" ht="15" hidden="false" customHeight="false" outlineLevel="0" collapsed="false">
      <c r="A48" s="43" t="s">
        <v>134</v>
      </c>
      <c r="B48" s="43" t="s">
        <v>73</v>
      </c>
      <c r="C48" s="43" t="s">
        <v>14</v>
      </c>
      <c r="D48" s="43" t="s">
        <v>42</v>
      </c>
      <c r="E48" s="43" t="n">
        <v>53</v>
      </c>
      <c r="F48" s="43" t="s">
        <v>43</v>
      </c>
      <c r="G48" s="43" t="n">
        <v>2016</v>
      </c>
      <c r="H48" s="43" t="s">
        <v>44</v>
      </c>
      <c r="I48" s="43" t="n">
        <v>42696</v>
      </c>
    </row>
    <row r="49" customFormat="false" ht="15" hidden="false" customHeight="false" outlineLevel="0" collapsed="false">
      <c r="A49" s="44" t="s">
        <v>135</v>
      </c>
      <c r="B49" s="44" t="s">
        <v>136</v>
      </c>
      <c r="C49" s="44" t="s">
        <v>14</v>
      </c>
      <c r="D49" s="44" t="s">
        <v>42</v>
      </c>
      <c r="E49" s="44" t="n">
        <v>34</v>
      </c>
      <c r="F49" s="44" t="s">
        <v>43</v>
      </c>
      <c r="G49" s="44" t="n">
        <v>2015</v>
      </c>
      <c r="H49" s="44" t="s">
        <v>44</v>
      </c>
      <c r="I49" s="44" t="n">
        <v>67233</v>
      </c>
    </row>
    <row r="50" customFormat="false" ht="15" hidden="false" customHeight="false" outlineLevel="0" collapsed="false">
      <c r="A50" s="43" t="s">
        <v>137</v>
      </c>
      <c r="B50" s="43" t="s">
        <v>138</v>
      </c>
      <c r="C50" s="43" t="s">
        <v>14</v>
      </c>
      <c r="D50" s="43" t="s">
        <v>47</v>
      </c>
      <c r="E50" s="43" t="n">
        <v>38</v>
      </c>
      <c r="F50" s="43" t="s">
        <v>43</v>
      </c>
      <c r="G50" s="43" t="n">
        <v>2021</v>
      </c>
      <c r="H50" s="43" t="s">
        <v>44</v>
      </c>
      <c r="I50" s="43" t="n">
        <v>60600</v>
      </c>
    </row>
    <row r="51" customFormat="false" ht="15" hidden="false" customHeight="false" outlineLevel="0" collapsed="false">
      <c r="A51" s="44" t="s">
        <v>139</v>
      </c>
      <c r="B51" s="44" t="s">
        <v>140</v>
      </c>
      <c r="C51" s="44" t="s">
        <v>14</v>
      </c>
      <c r="D51" s="44" t="s">
        <v>42</v>
      </c>
      <c r="E51" s="44" t="n">
        <v>22</v>
      </c>
      <c r="F51" s="44" t="s">
        <v>61</v>
      </c>
      <c r="G51" s="44" t="n">
        <v>2023</v>
      </c>
      <c r="H51" s="44" t="s">
        <v>44</v>
      </c>
      <c r="I51" s="44" t="n">
        <v>102273</v>
      </c>
    </row>
    <row r="52" customFormat="false" ht="15" hidden="false" customHeight="false" outlineLevel="0" collapsed="false">
      <c r="A52" s="43" t="s">
        <v>141</v>
      </c>
      <c r="B52" s="43" t="s">
        <v>41</v>
      </c>
      <c r="C52" s="43" t="s">
        <v>14</v>
      </c>
      <c r="D52" s="43" t="s">
        <v>47</v>
      </c>
      <c r="E52" s="43" t="n">
        <v>48</v>
      </c>
      <c r="F52" s="43" t="s">
        <v>43</v>
      </c>
      <c r="G52" s="43" t="n">
        <v>2020</v>
      </c>
      <c r="H52" s="43" t="s">
        <v>44</v>
      </c>
      <c r="I52" s="43" t="n">
        <v>45811</v>
      </c>
    </row>
    <row r="53" customFormat="false" ht="15" hidden="false" customHeight="false" outlineLevel="0" collapsed="false">
      <c r="A53" s="44" t="s">
        <v>142</v>
      </c>
      <c r="B53" s="44" t="s">
        <v>143</v>
      </c>
      <c r="C53" s="44" t="s">
        <v>14</v>
      </c>
      <c r="D53" s="44" t="s">
        <v>47</v>
      </c>
      <c r="E53" s="44" t="n">
        <v>42</v>
      </c>
      <c r="F53" s="44" t="s">
        <v>54</v>
      </c>
      <c r="G53" s="44" t="n">
        <v>2020</v>
      </c>
      <c r="H53" s="44" t="s">
        <v>44</v>
      </c>
      <c r="I53" s="44" t="n">
        <v>130261</v>
      </c>
    </row>
    <row r="54" customFormat="false" ht="15" hidden="false" customHeight="false" outlineLevel="0" collapsed="false">
      <c r="A54" s="43" t="s">
        <v>144</v>
      </c>
      <c r="B54" s="43" t="s">
        <v>67</v>
      </c>
      <c r="C54" s="43" t="s">
        <v>14</v>
      </c>
      <c r="D54" s="43" t="s">
        <v>47</v>
      </c>
      <c r="E54" s="43" t="n">
        <v>30</v>
      </c>
      <c r="F54" s="43" t="s">
        <v>54</v>
      </c>
      <c r="G54" s="43" t="n">
        <v>2018</v>
      </c>
      <c r="H54" s="43" t="s">
        <v>44</v>
      </c>
      <c r="I54" s="43" t="n">
        <v>149244</v>
      </c>
    </row>
    <row r="55" customFormat="false" ht="15" hidden="false" customHeight="false" outlineLevel="0" collapsed="false">
      <c r="A55" s="45" t="s">
        <v>145</v>
      </c>
      <c r="B55" s="45" t="s">
        <v>126</v>
      </c>
      <c r="C55" s="45" t="s">
        <v>14</v>
      </c>
      <c r="D55" s="45" t="s">
        <v>47</v>
      </c>
      <c r="E55" s="45" t="n">
        <v>56</v>
      </c>
      <c r="F55" s="45" t="s">
        <v>61</v>
      </c>
      <c r="G55" s="45" t="n">
        <v>2022</v>
      </c>
      <c r="H55" s="45" t="s">
        <v>76</v>
      </c>
      <c r="I55" s="45" t="n">
        <v>129030</v>
      </c>
    </row>
    <row r="56" customFormat="false" ht="15" hidden="false" customHeight="false" outlineLevel="0" collapsed="false">
      <c r="A56" s="43" t="s">
        <v>146</v>
      </c>
      <c r="B56" s="43" t="s">
        <v>129</v>
      </c>
      <c r="C56" s="43" t="s">
        <v>14</v>
      </c>
      <c r="D56" s="43" t="s">
        <v>42</v>
      </c>
      <c r="E56" s="43" t="n">
        <v>29</v>
      </c>
      <c r="F56" s="43" t="s">
        <v>61</v>
      </c>
      <c r="G56" s="43" t="n">
        <v>2023</v>
      </c>
      <c r="H56" s="43" t="s">
        <v>44</v>
      </c>
      <c r="I56" s="43" t="n">
        <v>123405</v>
      </c>
    </row>
    <row r="57" customFormat="false" ht="15" hidden="false" customHeight="false" outlineLevel="0" collapsed="false">
      <c r="A57" s="44" t="s">
        <v>147</v>
      </c>
      <c r="B57" s="44" t="s">
        <v>148</v>
      </c>
      <c r="C57" s="44" t="s">
        <v>14</v>
      </c>
      <c r="D57" s="44" t="s">
        <v>47</v>
      </c>
      <c r="E57" s="44" t="n">
        <v>50</v>
      </c>
      <c r="F57" s="44" t="s">
        <v>48</v>
      </c>
      <c r="G57" s="44" t="n">
        <v>2015</v>
      </c>
      <c r="H57" s="44" t="s">
        <v>44</v>
      </c>
      <c r="I57" s="44" t="n">
        <v>131196</v>
      </c>
    </row>
    <row r="58" customFormat="false" ht="15" hidden="false" customHeight="false" outlineLevel="0" collapsed="false">
      <c r="A58" s="43" t="s">
        <v>149</v>
      </c>
      <c r="B58" s="43" t="s">
        <v>150</v>
      </c>
      <c r="C58" s="43" t="s">
        <v>14</v>
      </c>
      <c r="D58" s="43" t="s">
        <v>47</v>
      </c>
      <c r="E58" s="43" t="n">
        <v>31</v>
      </c>
      <c r="F58" s="43" t="s">
        <v>51</v>
      </c>
      <c r="G58" s="43" t="n">
        <v>2020</v>
      </c>
      <c r="H58" s="43" t="s">
        <v>44</v>
      </c>
      <c r="I58" s="43" t="n">
        <v>94375</v>
      </c>
    </row>
    <row r="59" customFormat="false" ht="15" hidden="false" customHeight="false" outlineLevel="0" collapsed="false">
      <c r="A59" s="45" t="s">
        <v>151</v>
      </c>
      <c r="B59" s="45" t="s">
        <v>136</v>
      </c>
      <c r="C59" s="45" t="s">
        <v>14</v>
      </c>
      <c r="D59" s="45" t="s">
        <v>47</v>
      </c>
      <c r="E59" s="45" t="n">
        <v>46</v>
      </c>
      <c r="F59" s="45" t="s">
        <v>43</v>
      </c>
      <c r="G59" s="45" t="n">
        <v>2018</v>
      </c>
      <c r="H59" s="45" t="s">
        <v>81</v>
      </c>
      <c r="I59" s="45" t="n">
        <v>104024</v>
      </c>
    </row>
    <row r="60" customFormat="false" ht="15" hidden="false" customHeight="false" outlineLevel="0" collapsed="false">
      <c r="A60" s="46" t="s">
        <v>152</v>
      </c>
      <c r="B60" s="46" t="s">
        <v>153</v>
      </c>
      <c r="C60" s="46" t="s">
        <v>14</v>
      </c>
      <c r="D60" s="46" t="s">
        <v>42</v>
      </c>
      <c r="E60" s="46" t="n">
        <v>56</v>
      </c>
      <c r="F60" s="46" t="s">
        <v>48</v>
      </c>
      <c r="G60" s="46" t="n">
        <v>2024</v>
      </c>
      <c r="H60" s="46" t="s">
        <v>76</v>
      </c>
      <c r="I60" s="46" t="n">
        <v>64446</v>
      </c>
    </row>
    <row r="61" customFormat="false" ht="15" hidden="false" customHeight="false" outlineLevel="0" collapsed="false">
      <c r="A61" s="44" t="s">
        <v>154</v>
      </c>
      <c r="B61" s="44" t="s">
        <v>155</v>
      </c>
      <c r="C61" s="44" t="s">
        <v>14</v>
      </c>
      <c r="D61" s="44" t="s">
        <v>42</v>
      </c>
      <c r="E61" s="44" t="n">
        <v>52</v>
      </c>
      <c r="F61" s="44" t="s">
        <v>48</v>
      </c>
      <c r="G61" s="44" t="n">
        <v>2022</v>
      </c>
      <c r="H61" s="44" t="s">
        <v>44</v>
      </c>
      <c r="I61" s="44" t="n">
        <v>52217</v>
      </c>
    </row>
    <row r="62" customFormat="false" ht="15" hidden="false" customHeight="false" outlineLevel="0" collapsed="false">
      <c r="A62" s="43" t="s">
        <v>156</v>
      </c>
      <c r="B62" s="43" t="s">
        <v>157</v>
      </c>
      <c r="C62" s="43" t="s">
        <v>14</v>
      </c>
      <c r="D62" s="43" t="s">
        <v>47</v>
      </c>
      <c r="E62" s="43" t="n">
        <v>41</v>
      </c>
      <c r="F62" s="43" t="s">
        <v>61</v>
      </c>
      <c r="G62" s="43" t="n">
        <v>2024</v>
      </c>
      <c r="H62" s="43" t="s">
        <v>44</v>
      </c>
      <c r="I62" s="43" t="n">
        <v>91343</v>
      </c>
    </row>
    <row r="63" customFormat="false" ht="15" hidden="false" customHeight="false" outlineLevel="0" collapsed="false">
      <c r="A63" s="44" t="s">
        <v>158</v>
      </c>
      <c r="B63" s="44" t="s">
        <v>159</v>
      </c>
      <c r="C63" s="44" t="s">
        <v>14</v>
      </c>
      <c r="D63" s="44" t="s">
        <v>47</v>
      </c>
      <c r="E63" s="44" t="n">
        <v>48</v>
      </c>
      <c r="F63" s="44" t="s">
        <v>48</v>
      </c>
      <c r="G63" s="44" t="n">
        <v>2015</v>
      </c>
      <c r="H63" s="44" t="s">
        <v>44</v>
      </c>
      <c r="I63" s="44" t="n">
        <v>92542</v>
      </c>
    </row>
    <row r="64" customFormat="false" ht="15" hidden="false" customHeight="false" outlineLevel="0" collapsed="false">
      <c r="A64" s="46" t="s">
        <v>160</v>
      </c>
      <c r="B64" s="46" t="s">
        <v>161</v>
      </c>
      <c r="C64" s="46" t="s">
        <v>14</v>
      </c>
      <c r="D64" s="46" t="s">
        <v>47</v>
      </c>
      <c r="E64" s="46" t="n">
        <v>31</v>
      </c>
      <c r="F64" s="46" t="s">
        <v>54</v>
      </c>
      <c r="G64" s="46" t="n">
        <v>2020</v>
      </c>
      <c r="H64" s="46" t="s">
        <v>81</v>
      </c>
      <c r="I64" s="46" t="n">
        <v>111497</v>
      </c>
    </row>
    <row r="65" customFormat="false" ht="15" hidden="false" customHeight="false" outlineLevel="0" collapsed="false">
      <c r="A65" s="44" t="s">
        <v>162</v>
      </c>
      <c r="B65" s="44" t="s">
        <v>163</v>
      </c>
      <c r="C65" s="44" t="s">
        <v>14</v>
      </c>
      <c r="D65" s="44" t="s">
        <v>47</v>
      </c>
      <c r="E65" s="44" t="n">
        <v>39</v>
      </c>
      <c r="F65" s="44" t="s">
        <v>48</v>
      </c>
      <c r="G65" s="44" t="n">
        <v>2016</v>
      </c>
      <c r="H65" s="44" t="s">
        <v>44</v>
      </c>
      <c r="I65" s="44" t="n">
        <v>129013</v>
      </c>
    </row>
    <row r="66" customFormat="false" ht="15" hidden="false" customHeight="false" outlineLevel="0" collapsed="false">
      <c r="A66" s="43" t="s">
        <v>164</v>
      </c>
      <c r="B66" s="43" t="s">
        <v>165</v>
      </c>
      <c r="C66" s="43" t="s">
        <v>14</v>
      </c>
      <c r="D66" s="43" t="s">
        <v>47</v>
      </c>
      <c r="E66" s="43" t="n">
        <v>51</v>
      </c>
      <c r="F66" s="43" t="s">
        <v>43</v>
      </c>
      <c r="G66" s="43" t="n">
        <v>2016</v>
      </c>
      <c r="H66" s="43" t="s">
        <v>44</v>
      </c>
      <c r="I66" s="43" t="n">
        <v>146526</v>
      </c>
    </row>
    <row r="67" customFormat="false" ht="15" hidden="false" customHeight="false" outlineLevel="0" collapsed="false">
      <c r="A67" s="44" t="s">
        <v>166</v>
      </c>
      <c r="B67" s="44" t="s">
        <v>165</v>
      </c>
      <c r="C67" s="44" t="s">
        <v>14</v>
      </c>
      <c r="D67" s="44" t="s">
        <v>42</v>
      </c>
      <c r="E67" s="44" t="n">
        <v>57</v>
      </c>
      <c r="F67" s="44" t="s">
        <v>51</v>
      </c>
      <c r="G67" s="44" t="n">
        <v>2021</v>
      </c>
      <c r="H67" s="44" t="s">
        <v>44</v>
      </c>
      <c r="I67" s="44" t="n">
        <v>120801</v>
      </c>
    </row>
    <row r="68" customFormat="false" ht="15" hidden="false" customHeight="false" outlineLevel="0" collapsed="false">
      <c r="A68" s="43" t="s">
        <v>167</v>
      </c>
      <c r="B68" s="43" t="s">
        <v>168</v>
      </c>
      <c r="C68" s="43" t="s">
        <v>14</v>
      </c>
      <c r="D68" s="43" t="s">
        <v>42</v>
      </c>
      <c r="E68" s="43" t="n">
        <v>56</v>
      </c>
      <c r="F68" s="43" t="s">
        <v>61</v>
      </c>
      <c r="G68" s="43" t="n">
        <v>2019</v>
      </c>
      <c r="H68" s="43" t="s">
        <v>44</v>
      </c>
      <c r="I68" s="43" t="n">
        <v>101846</v>
      </c>
    </row>
    <row r="69" customFormat="false" ht="15" hidden="false" customHeight="false" outlineLevel="0" collapsed="false">
      <c r="A69" s="44" t="s">
        <v>169</v>
      </c>
      <c r="B69" s="44" t="s">
        <v>143</v>
      </c>
      <c r="C69" s="44" t="s">
        <v>14</v>
      </c>
      <c r="D69" s="44" t="s">
        <v>47</v>
      </c>
      <c r="E69" s="44" t="n">
        <v>48</v>
      </c>
      <c r="F69" s="44" t="s">
        <v>61</v>
      </c>
      <c r="G69" s="44" t="n">
        <v>2022</v>
      </c>
      <c r="H69" s="44" t="s">
        <v>44</v>
      </c>
      <c r="I69" s="44" t="n">
        <v>51067</v>
      </c>
    </row>
    <row r="70" customFormat="false" ht="15" hidden="false" customHeight="false" outlineLevel="0" collapsed="false">
      <c r="A70" s="43" t="s">
        <v>170</v>
      </c>
      <c r="B70" s="43" t="s">
        <v>171</v>
      </c>
      <c r="C70" s="43" t="s">
        <v>14</v>
      </c>
      <c r="D70" s="43" t="s">
        <v>42</v>
      </c>
      <c r="E70" s="43" t="n">
        <v>33</v>
      </c>
      <c r="F70" s="43" t="s">
        <v>43</v>
      </c>
      <c r="G70" s="43" t="n">
        <v>2022</v>
      </c>
      <c r="H70" s="43" t="s">
        <v>44</v>
      </c>
      <c r="I70" s="43" t="n">
        <v>136486</v>
      </c>
    </row>
    <row r="71" customFormat="false" ht="15" hidden="false" customHeight="false" outlineLevel="0" collapsed="false">
      <c r="A71" s="44" t="s">
        <v>172</v>
      </c>
      <c r="B71" s="44" t="s">
        <v>157</v>
      </c>
      <c r="C71" s="44" t="s">
        <v>14</v>
      </c>
      <c r="D71" s="44" t="s">
        <v>47</v>
      </c>
      <c r="E71" s="44" t="n">
        <v>33</v>
      </c>
      <c r="F71" s="44" t="s">
        <v>48</v>
      </c>
      <c r="G71" s="44" t="n">
        <v>2018</v>
      </c>
      <c r="H71" s="44" t="s">
        <v>44</v>
      </c>
      <c r="I71" s="44" t="n">
        <v>70458</v>
      </c>
    </row>
    <row r="72" customFormat="false" ht="15" hidden="false" customHeight="false" outlineLevel="0" collapsed="false">
      <c r="A72" s="43" t="s">
        <v>173</v>
      </c>
      <c r="B72" s="43" t="s">
        <v>174</v>
      </c>
      <c r="C72" s="43" t="s">
        <v>14</v>
      </c>
      <c r="D72" s="43" t="s">
        <v>47</v>
      </c>
      <c r="E72" s="43" t="n">
        <v>40</v>
      </c>
      <c r="F72" s="43" t="s">
        <v>54</v>
      </c>
      <c r="G72" s="43" t="n">
        <v>2022</v>
      </c>
      <c r="H72" s="43" t="s">
        <v>44</v>
      </c>
      <c r="I72" s="43" t="n">
        <v>137490</v>
      </c>
    </row>
    <row r="73" customFormat="false" ht="15" hidden="false" customHeight="false" outlineLevel="0" collapsed="false">
      <c r="A73" s="44" t="s">
        <v>175</v>
      </c>
      <c r="B73" s="44" t="s">
        <v>50</v>
      </c>
      <c r="C73" s="44" t="s">
        <v>14</v>
      </c>
      <c r="D73" s="44" t="s">
        <v>47</v>
      </c>
      <c r="E73" s="44" t="n">
        <v>35</v>
      </c>
      <c r="F73" s="44" t="s">
        <v>43</v>
      </c>
      <c r="G73" s="44" t="n">
        <v>2021</v>
      </c>
      <c r="H73" s="44" t="s">
        <v>44</v>
      </c>
      <c r="I73" s="44" t="n">
        <v>114888</v>
      </c>
    </row>
    <row r="74" customFormat="false" ht="15" hidden="false" customHeight="false" outlineLevel="0" collapsed="false">
      <c r="A74" s="43" t="s">
        <v>176</v>
      </c>
      <c r="B74" s="43" t="s">
        <v>161</v>
      </c>
      <c r="C74" s="43" t="s">
        <v>14</v>
      </c>
      <c r="D74" s="43" t="s">
        <v>47</v>
      </c>
      <c r="E74" s="43" t="n">
        <v>52</v>
      </c>
      <c r="F74" s="43" t="s">
        <v>54</v>
      </c>
      <c r="G74" s="43" t="n">
        <v>2022</v>
      </c>
      <c r="H74" s="43" t="s">
        <v>44</v>
      </c>
      <c r="I74" s="43" t="n">
        <v>54886</v>
      </c>
    </row>
    <row r="75" customFormat="false" ht="15" hidden="false" customHeight="false" outlineLevel="0" collapsed="false">
      <c r="A75" s="44" t="s">
        <v>177</v>
      </c>
      <c r="B75" s="44" t="s">
        <v>178</v>
      </c>
      <c r="C75" s="44" t="s">
        <v>14</v>
      </c>
      <c r="D75" s="44" t="s">
        <v>42</v>
      </c>
      <c r="E75" s="44" t="n">
        <v>49</v>
      </c>
      <c r="F75" s="44" t="s">
        <v>54</v>
      </c>
      <c r="G75" s="44" t="n">
        <v>2015</v>
      </c>
      <c r="H75" s="44" t="s">
        <v>44</v>
      </c>
      <c r="I75" s="44" t="n">
        <v>92410</v>
      </c>
    </row>
    <row r="76" customFormat="false" ht="15" hidden="false" customHeight="false" outlineLevel="0" collapsed="false">
      <c r="A76" s="46" t="s">
        <v>179</v>
      </c>
      <c r="B76" s="46" t="s">
        <v>153</v>
      </c>
      <c r="C76" s="46" t="s">
        <v>14</v>
      </c>
      <c r="D76" s="46" t="s">
        <v>42</v>
      </c>
      <c r="E76" s="46" t="n">
        <v>32</v>
      </c>
      <c r="F76" s="46" t="s">
        <v>48</v>
      </c>
      <c r="G76" s="46" t="n">
        <v>2017</v>
      </c>
      <c r="H76" s="46" t="s">
        <v>81</v>
      </c>
      <c r="I76" s="46" t="n">
        <v>145700</v>
      </c>
    </row>
    <row r="77" customFormat="false" ht="15" hidden="false" customHeight="false" outlineLevel="0" collapsed="false">
      <c r="A77" s="44" t="s">
        <v>180</v>
      </c>
      <c r="B77" s="44" t="s">
        <v>181</v>
      </c>
      <c r="C77" s="44" t="s">
        <v>14</v>
      </c>
      <c r="D77" s="44" t="s">
        <v>47</v>
      </c>
      <c r="E77" s="44" t="n">
        <v>34</v>
      </c>
      <c r="F77" s="44" t="s">
        <v>43</v>
      </c>
      <c r="G77" s="44" t="n">
        <v>2018</v>
      </c>
      <c r="H77" s="44" t="s">
        <v>44</v>
      </c>
      <c r="I77" s="44" t="n">
        <v>125630</v>
      </c>
    </row>
    <row r="78" customFormat="false" ht="15" hidden="false" customHeight="false" outlineLevel="0" collapsed="false">
      <c r="A78" s="43" t="s">
        <v>182</v>
      </c>
      <c r="B78" s="43" t="s">
        <v>183</v>
      </c>
      <c r="C78" s="43" t="s">
        <v>14</v>
      </c>
      <c r="D78" s="43" t="s">
        <v>42</v>
      </c>
      <c r="E78" s="43" t="n">
        <v>55</v>
      </c>
      <c r="F78" s="43" t="s">
        <v>48</v>
      </c>
      <c r="G78" s="43" t="n">
        <v>2019</v>
      </c>
      <c r="H78" s="43" t="s">
        <v>44</v>
      </c>
      <c r="I78" s="43" t="n">
        <v>109569</v>
      </c>
    </row>
    <row r="79" customFormat="false" ht="15" hidden="false" customHeight="false" outlineLevel="0" collapsed="false">
      <c r="A79" s="44" t="s">
        <v>184</v>
      </c>
      <c r="B79" s="44" t="s">
        <v>75</v>
      </c>
      <c r="C79" s="44" t="s">
        <v>14</v>
      </c>
      <c r="D79" s="44" t="s">
        <v>47</v>
      </c>
      <c r="E79" s="44" t="n">
        <v>32</v>
      </c>
      <c r="F79" s="44" t="s">
        <v>61</v>
      </c>
      <c r="G79" s="44" t="n">
        <v>2015</v>
      </c>
      <c r="H79" s="44" t="s">
        <v>44</v>
      </c>
      <c r="I79" s="44" t="n">
        <v>116692</v>
      </c>
    </row>
    <row r="80" customFormat="false" ht="15" hidden="false" customHeight="false" outlineLevel="0" collapsed="false">
      <c r="A80" s="43" t="s">
        <v>185</v>
      </c>
      <c r="B80" s="43" t="s">
        <v>50</v>
      </c>
      <c r="C80" s="43" t="s">
        <v>14</v>
      </c>
      <c r="D80" s="43" t="s">
        <v>47</v>
      </c>
      <c r="E80" s="43" t="n">
        <v>53</v>
      </c>
      <c r="F80" s="43" t="s">
        <v>61</v>
      </c>
      <c r="G80" s="43" t="n">
        <v>2019</v>
      </c>
      <c r="H80" s="43" t="s">
        <v>44</v>
      </c>
      <c r="I80" s="43" t="n">
        <v>129722</v>
      </c>
    </row>
    <row r="81" customFormat="false" ht="15" hidden="false" customHeight="false" outlineLevel="0" collapsed="false">
      <c r="A81" s="44" t="s">
        <v>186</v>
      </c>
      <c r="B81" s="44" t="s">
        <v>187</v>
      </c>
      <c r="C81" s="44" t="s">
        <v>14</v>
      </c>
      <c r="D81" s="44" t="s">
        <v>42</v>
      </c>
      <c r="E81" s="44" t="n">
        <v>41</v>
      </c>
      <c r="F81" s="44" t="s">
        <v>48</v>
      </c>
      <c r="G81" s="44" t="n">
        <v>2016</v>
      </c>
      <c r="H81" s="44" t="s">
        <v>44</v>
      </c>
      <c r="I81" s="44" t="n">
        <v>128993</v>
      </c>
    </row>
    <row r="82" customFormat="false" ht="15" hidden="false" customHeight="false" outlineLevel="0" collapsed="false">
      <c r="A82" s="43" t="s">
        <v>188</v>
      </c>
      <c r="B82" s="43" t="s">
        <v>155</v>
      </c>
      <c r="C82" s="43" t="s">
        <v>14</v>
      </c>
      <c r="D82" s="43" t="s">
        <v>47</v>
      </c>
      <c r="E82" s="43" t="n">
        <v>28</v>
      </c>
      <c r="F82" s="43" t="s">
        <v>54</v>
      </c>
      <c r="G82" s="43" t="n">
        <v>2021</v>
      </c>
      <c r="H82" s="43" t="s">
        <v>44</v>
      </c>
      <c r="I82" s="43" t="n">
        <v>110250</v>
      </c>
    </row>
    <row r="83" customFormat="false" ht="15" hidden="false" customHeight="false" outlineLevel="0" collapsed="false">
      <c r="A83" s="44" t="s">
        <v>189</v>
      </c>
      <c r="B83" s="44" t="s">
        <v>60</v>
      </c>
      <c r="C83" s="44" t="s">
        <v>14</v>
      </c>
      <c r="D83" s="44" t="s">
        <v>47</v>
      </c>
      <c r="E83" s="44" t="n">
        <v>23</v>
      </c>
      <c r="F83" s="44" t="s">
        <v>54</v>
      </c>
      <c r="G83" s="44" t="n">
        <v>2020</v>
      </c>
      <c r="H83" s="44" t="s">
        <v>44</v>
      </c>
      <c r="I83" s="44" t="n">
        <v>63300</v>
      </c>
    </row>
    <row r="84" customFormat="false" ht="15" hidden="false" customHeight="false" outlineLevel="0" collapsed="false">
      <c r="A84" s="43" t="s">
        <v>190</v>
      </c>
      <c r="B84" s="43" t="s">
        <v>67</v>
      </c>
      <c r="C84" s="43" t="s">
        <v>14</v>
      </c>
      <c r="D84" s="43" t="s">
        <v>42</v>
      </c>
      <c r="E84" s="43" t="n">
        <v>47</v>
      </c>
      <c r="F84" s="43" t="s">
        <v>43</v>
      </c>
      <c r="G84" s="43" t="n">
        <v>2020</v>
      </c>
      <c r="H84" s="43" t="s">
        <v>44</v>
      </c>
      <c r="I84" s="43" t="n">
        <v>71356</v>
      </c>
    </row>
    <row r="85" customFormat="false" ht="15" hidden="false" customHeight="false" outlineLevel="0" collapsed="false">
      <c r="A85" s="44" t="s">
        <v>191</v>
      </c>
      <c r="B85" s="44" t="s">
        <v>192</v>
      </c>
      <c r="C85" s="44" t="s">
        <v>14</v>
      </c>
      <c r="D85" s="44" t="s">
        <v>47</v>
      </c>
      <c r="E85" s="44" t="n">
        <v>41</v>
      </c>
      <c r="F85" s="44" t="s">
        <v>43</v>
      </c>
      <c r="G85" s="44" t="n">
        <v>2015</v>
      </c>
      <c r="H85" s="44" t="s">
        <v>44</v>
      </c>
      <c r="I85" s="44" t="n">
        <v>55755</v>
      </c>
    </row>
    <row r="86" customFormat="false" ht="15" hidden="false" customHeight="false" outlineLevel="0" collapsed="false">
      <c r="A86" s="46" t="s">
        <v>193</v>
      </c>
      <c r="B86" s="46" t="s">
        <v>95</v>
      </c>
      <c r="C86" s="46" t="s">
        <v>14</v>
      </c>
      <c r="D86" s="46" t="s">
        <v>42</v>
      </c>
      <c r="E86" s="46" t="n">
        <v>33</v>
      </c>
      <c r="F86" s="46" t="s">
        <v>54</v>
      </c>
      <c r="G86" s="46" t="n">
        <v>2018</v>
      </c>
      <c r="H86" s="46" t="s">
        <v>81</v>
      </c>
      <c r="I86" s="46" t="n">
        <v>99168</v>
      </c>
    </row>
    <row r="87" customFormat="false" ht="15" hidden="false" customHeight="false" outlineLevel="0" collapsed="false">
      <c r="A87" s="44" t="s">
        <v>194</v>
      </c>
      <c r="B87" s="44" t="s">
        <v>136</v>
      </c>
      <c r="C87" s="44" t="s">
        <v>16</v>
      </c>
      <c r="D87" s="44" t="s">
        <v>42</v>
      </c>
      <c r="E87" s="44" t="n">
        <v>54</v>
      </c>
      <c r="F87" s="44" t="s">
        <v>54</v>
      </c>
      <c r="G87" s="44" t="n">
        <v>2015</v>
      </c>
      <c r="H87" s="44" t="s">
        <v>44</v>
      </c>
      <c r="I87" s="44" t="n">
        <v>89074</v>
      </c>
    </row>
    <row r="88" customFormat="false" ht="15" hidden="false" customHeight="false" outlineLevel="0" collapsed="false">
      <c r="A88" s="43" t="s">
        <v>195</v>
      </c>
      <c r="B88" s="43" t="s">
        <v>196</v>
      </c>
      <c r="C88" s="43" t="s">
        <v>16</v>
      </c>
      <c r="D88" s="43" t="s">
        <v>47</v>
      </c>
      <c r="E88" s="43" t="n">
        <v>26</v>
      </c>
      <c r="F88" s="43" t="s">
        <v>48</v>
      </c>
      <c r="G88" s="43" t="n">
        <v>2016</v>
      </c>
      <c r="H88" s="43" t="s">
        <v>44</v>
      </c>
      <c r="I88" s="43" t="n">
        <v>125034</v>
      </c>
    </row>
    <row r="89" customFormat="false" ht="15" hidden="false" customHeight="false" outlineLevel="0" collapsed="false">
      <c r="A89" s="44" t="s">
        <v>197</v>
      </c>
      <c r="B89" s="44" t="s">
        <v>198</v>
      </c>
      <c r="C89" s="44" t="s">
        <v>16</v>
      </c>
      <c r="D89" s="44" t="s">
        <v>42</v>
      </c>
      <c r="E89" s="44" t="n">
        <v>52</v>
      </c>
      <c r="F89" s="44" t="s">
        <v>61</v>
      </c>
      <c r="G89" s="44" t="n">
        <v>2023</v>
      </c>
      <c r="H89" s="44" t="s">
        <v>44</v>
      </c>
      <c r="I89" s="44" t="n">
        <v>51367</v>
      </c>
    </row>
    <row r="90" customFormat="false" ht="15" hidden="false" customHeight="false" outlineLevel="0" collapsed="false">
      <c r="A90" s="43" t="s">
        <v>199</v>
      </c>
      <c r="B90" s="43" t="s">
        <v>165</v>
      </c>
      <c r="C90" s="43" t="s">
        <v>16</v>
      </c>
      <c r="D90" s="43" t="s">
        <v>47</v>
      </c>
      <c r="E90" s="43" t="n">
        <v>40</v>
      </c>
      <c r="F90" s="43" t="s">
        <v>51</v>
      </c>
      <c r="G90" s="43" t="n">
        <v>2017</v>
      </c>
      <c r="H90" s="43" t="s">
        <v>44</v>
      </c>
      <c r="I90" s="43" t="n">
        <v>116515</v>
      </c>
    </row>
    <row r="91" customFormat="false" ht="15" hidden="false" customHeight="false" outlineLevel="0" collapsed="false">
      <c r="A91" s="44" t="s">
        <v>200</v>
      </c>
      <c r="B91" s="44" t="s">
        <v>201</v>
      </c>
      <c r="C91" s="44" t="s">
        <v>16</v>
      </c>
      <c r="D91" s="44" t="s">
        <v>42</v>
      </c>
      <c r="E91" s="44" t="n">
        <v>36</v>
      </c>
      <c r="F91" s="44" t="s">
        <v>54</v>
      </c>
      <c r="G91" s="44" t="n">
        <v>2021</v>
      </c>
      <c r="H91" s="44" t="s">
        <v>44</v>
      </c>
      <c r="I91" s="44" t="n">
        <v>146783</v>
      </c>
    </row>
    <row r="92" customFormat="false" ht="15" hidden="false" customHeight="false" outlineLevel="0" collapsed="false">
      <c r="A92" s="43" t="s">
        <v>202</v>
      </c>
      <c r="B92" s="43" t="s">
        <v>95</v>
      </c>
      <c r="C92" s="43" t="s">
        <v>16</v>
      </c>
      <c r="D92" s="43" t="s">
        <v>42</v>
      </c>
      <c r="E92" s="43" t="n">
        <v>32</v>
      </c>
      <c r="F92" s="43" t="s">
        <v>51</v>
      </c>
      <c r="G92" s="43" t="n">
        <v>2024</v>
      </c>
      <c r="H92" s="43" t="s">
        <v>44</v>
      </c>
      <c r="I92" s="43" t="n">
        <v>124660</v>
      </c>
    </row>
    <row r="93" customFormat="false" ht="15" hidden="false" customHeight="false" outlineLevel="0" collapsed="false">
      <c r="A93" s="45" t="s">
        <v>203</v>
      </c>
      <c r="B93" s="45" t="s">
        <v>204</v>
      </c>
      <c r="C93" s="45" t="s">
        <v>16</v>
      </c>
      <c r="D93" s="45" t="s">
        <v>42</v>
      </c>
      <c r="E93" s="45" t="n">
        <v>42</v>
      </c>
      <c r="F93" s="45" t="s">
        <v>51</v>
      </c>
      <c r="G93" s="45" t="n">
        <v>2022</v>
      </c>
      <c r="H93" s="45" t="s">
        <v>81</v>
      </c>
      <c r="I93" s="45" t="n">
        <v>66607</v>
      </c>
    </row>
    <row r="94" customFormat="false" ht="15" hidden="false" customHeight="false" outlineLevel="0" collapsed="false">
      <c r="A94" s="43" t="s">
        <v>205</v>
      </c>
      <c r="B94" s="43" t="s">
        <v>63</v>
      </c>
      <c r="C94" s="43" t="s">
        <v>16</v>
      </c>
      <c r="D94" s="43" t="s">
        <v>42</v>
      </c>
      <c r="E94" s="43" t="n">
        <v>27</v>
      </c>
      <c r="F94" s="43" t="s">
        <v>51</v>
      </c>
      <c r="G94" s="43" t="n">
        <v>2020</v>
      </c>
      <c r="H94" s="43" t="s">
        <v>44</v>
      </c>
      <c r="I94" s="43" t="n">
        <v>130927</v>
      </c>
    </row>
    <row r="95" customFormat="false" ht="15" hidden="false" customHeight="false" outlineLevel="0" collapsed="false">
      <c r="A95" s="44" t="s">
        <v>206</v>
      </c>
      <c r="B95" s="44" t="s">
        <v>207</v>
      </c>
      <c r="C95" s="44" t="s">
        <v>16</v>
      </c>
      <c r="D95" s="44" t="s">
        <v>42</v>
      </c>
      <c r="E95" s="44" t="n">
        <v>37</v>
      </c>
      <c r="F95" s="44" t="s">
        <v>61</v>
      </c>
      <c r="G95" s="44" t="n">
        <v>2020</v>
      </c>
      <c r="H95" s="44" t="s">
        <v>44</v>
      </c>
      <c r="I95" s="44" t="n">
        <v>138923</v>
      </c>
    </row>
    <row r="96" customFormat="false" ht="15" hidden="false" customHeight="false" outlineLevel="0" collapsed="false">
      <c r="A96" s="43" t="s">
        <v>208</v>
      </c>
      <c r="B96" s="43" t="s">
        <v>153</v>
      </c>
      <c r="C96" s="43" t="s">
        <v>16</v>
      </c>
      <c r="D96" s="43" t="s">
        <v>47</v>
      </c>
      <c r="E96" s="43" t="n">
        <v>30</v>
      </c>
      <c r="F96" s="43" t="s">
        <v>48</v>
      </c>
      <c r="G96" s="43" t="n">
        <v>2019</v>
      </c>
      <c r="H96" s="43" t="s">
        <v>44</v>
      </c>
      <c r="I96" s="43" t="n">
        <v>61331</v>
      </c>
    </row>
    <row r="97" customFormat="false" ht="15" hidden="false" customHeight="false" outlineLevel="0" collapsed="false">
      <c r="A97" s="45" t="s">
        <v>209</v>
      </c>
      <c r="B97" s="45" t="s">
        <v>63</v>
      </c>
      <c r="C97" s="45" t="s">
        <v>16</v>
      </c>
      <c r="D97" s="45" t="s">
        <v>42</v>
      </c>
      <c r="E97" s="45" t="n">
        <v>32</v>
      </c>
      <c r="F97" s="45" t="s">
        <v>54</v>
      </c>
      <c r="G97" s="45" t="n">
        <v>2022</v>
      </c>
      <c r="H97" s="45" t="s">
        <v>76</v>
      </c>
      <c r="I97" s="45" t="n">
        <v>73912</v>
      </c>
    </row>
    <row r="98" customFormat="false" ht="15" hidden="false" customHeight="false" outlineLevel="0" collapsed="false">
      <c r="A98" s="46" t="s">
        <v>210</v>
      </c>
      <c r="B98" s="46" t="s">
        <v>207</v>
      </c>
      <c r="C98" s="46" t="s">
        <v>16</v>
      </c>
      <c r="D98" s="46" t="s">
        <v>47</v>
      </c>
      <c r="E98" s="46" t="n">
        <v>33</v>
      </c>
      <c r="F98" s="46" t="s">
        <v>48</v>
      </c>
      <c r="G98" s="46" t="n">
        <v>2022</v>
      </c>
      <c r="H98" s="46" t="s">
        <v>81</v>
      </c>
      <c r="I98" s="46" t="n">
        <v>121069</v>
      </c>
    </row>
    <row r="99" customFormat="false" ht="15" hidden="false" customHeight="false" outlineLevel="0" collapsed="false">
      <c r="A99" s="44" t="s">
        <v>211</v>
      </c>
      <c r="B99" s="44" t="s">
        <v>212</v>
      </c>
      <c r="C99" s="44" t="s">
        <v>16</v>
      </c>
      <c r="D99" s="44" t="s">
        <v>42</v>
      </c>
      <c r="E99" s="44" t="n">
        <v>30</v>
      </c>
      <c r="F99" s="44" t="s">
        <v>43</v>
      </c>
      <c r="G99" s="44" t="n">
        <v>2021</v>
      </c>
      <c r="H99" s="44" t="s">
        <v>44</v>
      </c>
      <c r="I99" s="44" t="n">
        <v>40964</v>
      </c>
    </row>
    <row r="100" customFormat="false" ht="15" hidden="false" customHeight="false" outlineLevel="0" collapsed="false">
      <c r="A100" s="46" t="s">
        <v>213</v>
      </c>
      <c r="B100" s="46" t="s">
        <v>214</v>
      </c>
      <c r="C100" s="46" t="s">
        <v>16</v>
      </c>
      <c r="D100" s="46" t="s">
        <v>47</v>
      </c>
      <c r="E100" s="46" t="n">
        <v>44</v>
      </c>
      <c r="F100" s="46" t="s">
        <v>61</v>
      </c>
      <c r="G100" s="46" t="n">
        <v>2017</v>
      </c>
      <c r="H100" s="46" t="s">
        <v>81</v>
      </c>
      <c r="I100" s="46" t="n">
        <v>51138</v>
      </c>
    </row>
    <row r="101" customFormat="false" ht="15" hidden="false" customHeight="false" outlineLevel="0" collapsed="false">
      <c r="A101" s="44" t="s">
        <v>215</v>
      </c>
      <c r="B101" s="44" t="s">
        <v>216</v>
      </c>
      <c r="C101" s="44" t="s">
        <v>16</v>
      </c>
      <c r="D101" s="44" t="s">
        <v>42</v>
      </c>
      <c r="E101" s="44" t="n">
        <v>23</v>
      </c>
      <c r="F101" s="44" t="s">
        <v>48</v>
      </c>
      <c r="G101" s="44" t="n">
        <v>2017</v>
      </c>
      <c r="H101" s="44" t="s">
        <v>44</v>
      </c>
      <c r="I101" s="44" t="n">
        <v>89512</v>
      </c>
    </row>
    <row r="102" customFormat="false" ht="15" hidden="false" customHeight="false" outlineLevel="0" collapsed="false">
      <c r="A102" s="43" t="s">
        <v>217</v>
      </c>
      <c r="B102" s="43" t="s">
        <v>41</v>
      </c>
      <c r="C102" s="43" t="s">
        <v>16</v>
      </c>
      <c r="D102" s="43" t="s">
        <v>47</v>
      </c>
      <c r="E102" s="43" t="n">
        <v>37</v>
      </c>
      <c r="F102" s="43" t="s">
        <v>61</v>
      </c>
      <c r="G102" s="43" t="n">
        <v>2022</v>
      </c>
      <c r="H102" s="43" t="s">
        <v>44</v>
      </c>
      <c r="I102" s="43" t="n">
        <v>41691</v>
      </c>
    </row>
    <row r="103" customFormat="false" ht="15" hidden="false" customHeight="false" outlineLevel="0" collapsed="false">
      <c r="A103" s="44" t="s">
        <v>218</v>
      </c>
      <c r="B103" s="44" t="s">
        <v>219</v>
      </c>
      <c r="C103" s="44" t="s">
        <v>16</v>
      </c>
      <c r="D103" s="44" t="s">
        <v>42</v>
      </c>
      <c r="E103" s="44" t="n">
        <v>44</v>
      </c>
      <c r="F103" s="44" t="s">
        <v>43</v>
      </c>
      <c r="G103" s="44" t="n">
        <v>2023</v>
      </c>
      <c r="H103" s="44" t="s">
        <v>44</v>
      </c>
      <c r="I103" s="44" t="n">
        <v>46207</v>
      </c>
    </row>
    <row r="104" customFormat="false" ht="15" hidden="false" customHeight="false" outlineLevel="0" collapsed="false">
      <c r="A104" s="46" t="s">
        <v>220</v>
      </c>
      <c r="B104" s="46" t="s">
        <v>133</v>
      </c>
      <c r="C104" s="46" t="s">
        <v>16</v>
      </c>
      <c r="D104" s="46" t="s">
        <v>42</v>
      </c>
      <c r="E104" s="46" t="n">
        <v>35</v>
      </c>
      <c r="F104" s="46" t="s">
        <v>54</v>
      </c>
      <c r="G104" s="46" t="n">
        <v>2015</v>
      </c>
      <c r="H104" s="46" t="s">
        <v>76</v>
      </c>
      <c r="I104" s="46" t="n">
        <v>46330</v>
      </c>
    </row>
    <row r="105" customFormat="false" ht="15" hidden="false" customHeight="false" outlineLevel="0" collapsed="false">
      <c r="A105" s="44" t="s">
        <v>221</v>
      </c>
      <c r="B105" s="44" t="s">
        <v>78</v>
      </c>
      <c r="C105" s="44" t="s">
        <v>16</v>
      </c>
      <c r="D105" s="44" t="s">
        <v>47</v>
      </c>
      <c r="E105" s="44" t="n">
        <v>25</v>
      </c>
      <c r="F105" s="44" t="s">
        <v>54</v>
      </c>
      <c r="G105" s="44" t="n">
        <v>2020</v>
      </c>
      <c r="H105" s="44" t="s">
        <v>44</v>
      </c>
      <c r="I105" s="44" t="n">
        <v>42261</v>
      </c>
    </row>
    <row r="106" customFormat="false" ht="15" hidden="false" customHeight="false" outlineLevel="0" collapsed="false">
      <c r="A106" s="43" t="s">
        <v>222</v>
      </c>
      <c r="B106" s="43" t="s">
        <v>198</v>
      </c>
      <c r="C106" s="43" t="s">
        <v>16</v>
      </c>
      <c r="D106" s="43" t="s">
        <v>42</v>
      </c>
      <c r="E106" s="43" t="n">
        <v>44</v>
      </c>
      <c r="F106" s="43" t="s">
        <v>54</v>
      </c>
      <c r="G106" s="43" t="n">
        <v>2023</v>
      </c>
      <c r="H106" s="43" t="s">
        <v>44</v>
      </c>
      <c r="I106" s="43" t="n">
        <v>136174</v>
      </c>
    </row>
    <row r="107" customFormat="false" ht="15" hidden="false" customHeight="false" outlineLevel="0" collapsed="false">
      <c r="A107" s="44" t="s">
        <v>223</v>
      </c>
      <c r="B107" s="44" t="s">
        <v>159</v>
      </c>
      <c r="C107" s="44" t="s">
        <v>16</v>
      </c>
      <c r="D107" s="44" t="s">
        <v>42</v>
      </c>
      <c r="E107" s="44" t="n">
        <v>38</v>
      </c>
      <c r="F107" s="44" t="s">
        <v>61</v>
      </c>
      <c r="G107" s="44" t="n">
        <v>2016</v>
      </c>
      <c r="H107" s="44" t="s">
        <v>44</v>
      </c>
      <c r="I107" s="44" t="n">
        <v>89004</v>
      </c>
    </row>
    <row r="108" customFormat="false" ht="15" hidden="false" customHeight="false" outlineLevel="0" collapsed="false">
      <c r="A108" s="43" t="s">
        <v>224</v>
      </c>
      <c r="B108" s="43" t="s">
        <v>219</v>
      </c>
      <c r="C108" s="43" t="s">
        <v>16</v>
      </c>
      <c r="D108" s="43" t="s">
        <v>47</v>
      </c>
      <c r="E108" s="43" t="n">
        <v>31</v>
      </c>
      <c r="F108" s="43" t="s">
        <v>51</v>
      </c>
      <c r="G108" s="43" t="n">
        <v>2023</v>
      </c>
      <c r="H108" s="43" t="s">
        <v>44</v>
      </c>
      <c r="I108" s="43" t="n">
        <v>85871</v>
      </c>
    </row>
    <row r="109" customFormat="false" ht="15" hidden="false" customHeight="false" outlineLevel="0" collapsed="false">
      <c r="A109" s="44" t="s">
        <v>225</v>
      </c>
      <c r="B109" s="44" t="s">
        <v>109</v>
      </c>
      <c r="C109" s="44" t="s">
        <v>16</v>
      </c>
      <c r="D109" s="44" t="s">
        <v>47</v>
      </c>
      <c r="E109" s="44" t="n">
        <v>30</v>
      </c>
      <c r="F109" s="44" t="s">
        <v>43</v>
      </c>
      <c r="G109" s="44" t="n">
        <v>2019</v>
      </c>
      <c r="H109" s="44" t="s">
        <v>44</v>
      </c>
      <c r="I109" s="44" t="n">
        <v>94894</v>
      </c>
    </row>
    <row r="110" customFormat="false" ht="15" hidden="false" customHeight="false" outlineLevel="0" collapsed="false">
      <c r="A110" s="46" t="s">
        <v>226</v>
      </c>
      <c r="B110" s="46" t="s">
        <v>227</v>
      </c>
      <c r="C110" s="46" t="s">
        <v>16</v>
      </c>
      <c r="D110" s="46" t="s">
        <v>47</v>
      </c>
      <c r="E110" s="46" t="n">
        <v>29</v>
      </c>
      <c r="F110" s="46" t="s">
        <v>48</v>
      </c>
      <c r="G110" s="46" t="n">
        <v>2024</v>
      </c>
      <c r="H110" s="46" t="s">
        <v>76</v>
      </c>
      <c r="I110" s="46" t="n">
        <v>73422</v>
      </c>
    </row>
    <row r="111" customFormat="false" ht="15" hidden="false" customHeight="false" outlineLevel="0" collapsed="false">
      <c r="A111" s="44" t="s">
        <v>228</v>
      </c>
      <c r="B111" s="44" t="s">
        <v>60</v>
      </c>
      <c r="C111" s="44" t="s">
        <v>16</v>
      </c>
      <c r="D111" s="44" t="s">
        <v>42</v>
      </c>
      <c r="E111" s="44" t="n">
        <v>53</v>
      </c>
      <c r="F111" s="44" t="s">
        <v>48</v>
      </c>
      <c r="G111" s="44" t="n">
        <v>2022</v>
      </c>
      <c r="H111" s="44" t="s">
        <v>44</v>
      </c>
      <c r="I111" s="44" t="n">
        <v>142911</v>
      </c>
    </row>
    <row r="112" customFormat="false" ht="15" hidden="false" customHeight="false" outlineLevel="0" collapsed="false">
      <c r="A112" s="43" t="s">
        <v>229</v>
      </c>
      <c r="B112" s="43" t="s">
        <v>219</v>
      </c>
      <c r="C112" s="43" t="s">
        <v>16</v>
      </c>
      <c r="D112" s="43" t="s">
        <v>42</v>
      </c>
      <c r="E112" s="43" t="n">
        <v>45</v>
      </c>
      <c r="F112" s="43" t="s">
        <v>54</v>
      </c>
      <c r="G112" s="43" t="n">
        <v>2023</v>
      </c>
      <c r="H112" s="43" t="s">
        <v>44</v>
      </c>
      <c r="I112" s="43" t="n">
        <v>82584</v>
      </c>
    </row>
    <row r="113" customFormat="false" ht="15" hidden="false" customHeight="false" outlineLevel="0" collapsed="false">
      <c r="A113" s="44" t="s">
        <v>230</v>
      </c>
      <c r="B113" s="44" t="s">
        <v>231</v>
      </c>
      <c r="C113" s="44" t="s">
        <v>16</v>
      </c>
      <c r="D113" s="44" t="s">
        <v>42</v>
      </c>
      <c r="E113" s="44" t="n">
        <v>55</v>
      </c>
      <c r="F113" s="44" t="s">
        <v>43</v>
      </c>
      <c r="G113" s="44" t="n">
        <v>2022</v>
      </c>
      <c r="H113" s="44" t="s">
        <v>44</v>
      </c>
      <c r="I113" s="44" t="n">
        <v>46292</v>
      </c>
    </row>
    <row r="114" customFormat="false" ht="15" hidden="false" customHeight="false" outlineLevel="0" collapsed="false">
      <c r="A114" s="43" t="s">
        <v>232</v>
      </c>
      <c r="B114" s="43" t="s">
        <v>133</v>
      </c>
      <c r="C114" s="43" t="s">
        <v>16</v>
      </c>
      <c r="D114" s="43" t="s">
        <v>47</v>
      </c>
      <c r="E114" s="43" t="n">
        <v>30</v>
      </c>
      <c r="F114" s="43" t="s">
        <v>61</v>
      </c>
      <c r="G114" s="43" t="n">
        <v>2019</v>
      </c>
      <c r="H114" s="43" t="s">
        <v>44</v>
      </c>
      <c r="I114" s="43" t="n">
        <v>118204</v>
      </c>
    </row>
    <row r="115" customFormat="false" ht="15" hidden="false" customHeight="false" outlineLevel="0" collapsed="false">
      <c r="A115" s="44" t="s">
        <v>233</v>
      </c>
      <c r="B115" s="44" t="s">
        <v>234</v>
      </c>
      <c r="C115" s="44" t="s">
        <v>16</v>
      </c>
      <c r="D115" s="44" t="s">
        <v>42</v>
      </c>
      <c r="E115" s="44" t="n">
        <v>37</v>
      </c>
      <c r="F115" s="44" t="s">
        <v>48</v>
      </c>
      <c r="G115" s="44" t="n">
        <v>2018</v>
      </c>
      <c r="H115" s="44" t="s">
        <v>44</v>
      </c>
      <c r="I115" s="44" t="n">
        <v>143328</v>
      </c>
    </row>
    <row r="116" customFormat="false" ht="15" hidden="false" customHeight="false" outlineLevel="0" collapsed="false">
      <c r="A116" s="43" t="s">
        <v>235</v>
      </c>
      <c r="B116" s="43" t="s">
        <v>120</v>
      </c>
      <c r="C116" s="43" t="s">
        <v>16</v>
      </c>
      <c r="D116" s="43" t="s">
        <v>42</v>
      </c>
      <c r="E116" s="43" t="n">
        <v>47</v>
      </c>
      <c r="F116" s="43" t="s">
        <v>54</v>
      </c>
      <c r="G116" s="43" t="n">
        <v>2018</v>
      </c>
      <c r="H116" s="43" t="s">
        <v>44</v>
      </c>
      <c r="I116" s="43" t="n">
        <v>134503</v>
      </c>
    </row>
    <row r="117" customFormat="false" ht="15" hidden="false" customHeight="false" outlineLevel="0" collapsed="false">
      <c r="A117" s="45" t="s">
        <v>236</v>
      </c>
      <c r="B117" s="45" t="s">
        <v>56</v>
      </c>
      <c r="C117" s="45" t="s">
        <v>16</v>
      </c>
      <c r="D117" s="45" t="s">
        <v>47</v>
      </c>
      <c r="E117" s="45" t="n">
        <v>30</v>
      </c>
      <c r="F117" s="45" t="s">
        <v>43</v>
      </c>
      <c r="G117" s="45" t="n">
        <v>2016</v>
      </c>
      <c r="H117" s="45" t="s">
        <v>81</v>
      </c>
      <c r="I117" s="45" t="n">
        <v>93020</v>
      </c>
    </row>
    <row r="118" customFormat="false" ht="15" hidden="false" customHeight="false" outlineLevel="0" collapsed="false">
      <c r="A118" s="43" t="s">
        <v>237</v>
      </c>
      <c r="B118" s="43" t="s">
        <v>192</v>
      </c>
      <c r="C118" s="43" t="s">
        <v>16</v>
      </c>
      <c r="D118" s="43" t="s">
        <v>47</v>
      </c>
      <c r="E118" s="43" t="n">
        <v>54</v>
      </c>
      <c r="F118" s="43" t="s">
        <v>48</v>
      </c>
      <c r="G118" s="43" t="n">
        <v>2019</v>
      </c>
      <c r="H118" s="43" t="s">
        <v>44</v>
      </c>
      <c r="I118" s="43" t="n">
        <v>134440</v>
      </c>
    </row>
    <row r="119" customFormat="false" ht="15" hidden="false" customHeight="false" outlineLevel="0" collapsed="false">
      <c r="A119" s="44" t="s">
        <v>238</v>
      </c>
      <c r="B119" s="44" t="s">
        <v>150</v>
      </c>
      <c r="C119" s="44" t="s">
        <v>16</v>
      </c>
      <c r="D119" s="44" t="s">
        <v>47</v>
      </c>
      <c r="E119" s="44" t="n">
        <v>44</v>
      </c>
      <c r="F119" s="44" t="s">
        <v>61</v>
      </c>
      <c r="G119" s="44" t="n">
        <v>2021</v>
      </c>
      <c r="H119" s="44" t="s">
        <v>44</v>
      </c>
      <c r="I119" s="44" t="n">
        <v>103485</v>
      </c>
    </row>
    <row r="120" customFormat="false" ht="15" hidden="false" customHeight="false" outlineLevel="0" collapsed="false">
      <c r="A120" s="46" t="s">
        <v>239</v>
      </c>
      <c r="B120" s="46" t="s">
        <v>101</v>
      </c>
      <c r="C120" s="46" t="s">
        <v>16</v>
      </c>
      <c r="D120" s="46" t="s">
        <v>42</v>
      </c>
      <c r="E120" s="46" t="n">
        <v>45</v>
      </c>
      <c r="F120" s="46" t="s">
        <v>54</v>
      </c>
      <c r="G120" s="46" t="n">
        <v>2022</v>
      </c>
      <c r="H120" s="46" t="s">
        <v>81</v>
      </c>
      <c r="I120" s="46" t="n">
        <v>83601</v>
      </c>
    </row>
    <row r="121" customFormat="false" ht="15" hidden="false" customHeight="false" outlineLevel="0" collapsed="false">
      <c r="A121" s="44" t="s">
        <v>240</v>
      </c>
      <c r="B121" s="44" t="s">
        <v>241</v>
      </c>
      <c r="C121" s="44" t="s">
        <v>16</v>
      </c>
      <c r="D121" s="44" t="s">
        <v>47</v>
      </c>
      <c r="E121" s="44" t="n">
        <v>45</v>
      </c>
      <c r="F121" s="44" t="s">
        <v>43</v>
      </c>
      <c r="G121" s="44" t="n">
        <v>2017</v>
      </c>
      <c r="H121" s="44" t="s">
        <v>44</v>
      </c>
      <c r="I121" s="44" t="n">
        <v>137457</v>
      </c>
    </row>
    <row r="122" customFormat="false" ht="15" hidden="false" customHeight="false" outlineLevel="0" collapsed="false">
      <c r="A122" s="46" t="s">
        <v>242</v>
      </c>
      <c r="B122" s="46" t="s">
        <v>212</v>
      </c>
      <c r="C122" s="46" t="s">
        <v>16</v>
      </c>
      <c r="D122" s="46" t="s">
        <v>47</v>
      </c>
      <c r="E122" s="46" t="n">
        <v>57</v>
      </c>
      <c r="F122" s="46" t="s">
        <v>54</v>
      </c>
      <c r="G122" s="46" t="n">
        <v>2023</v>
      </c>
      <c r="H122" s="46" t="s">
        <v>76</v>
      </c>
      <c r="I122" s="46" t="n">
        <v>57601</v>
      </c>
    </row>
    <row r="123" customFormat="false" ht="15" hidden="false" customHeight="false" outlineLevel="0" collapsed="false">
      <c r="A123" s="44" t="s">
        <v>243</v>
      </c>
      <c r="B123" s="44" t="s">
        <v>244</v>
      </c>
      <c r="C123" s="44" t="s">
        <v>16</v>
      </c>
      <c r="D123" s="44" t="s">
        <v>47</v>
      </c>
      <c r="E123" s="44" t="n">
        <v>41</v>
      </c>
      <c r="F123" s="44" t="s">
        <v>43</v>
      </c>
      <c r="G123" s="44" t="n">
        <v>2016</v>
      </c>
      <c r="H123" s="44" t="s">
        <v>44</v>
      </c>
      <c r="I123" s="44" t="n">
        <v>126132</v>
      </c>
    </row>
    <row r="124" customFormat="false" ht="15" hidden="false" customHeight="false" outlineLevel="0" collapsed="false">
      <c r="A124" s="43" t="s">
        <v>245</v>
      </c>
      <c r="B124" s="43" t="s">
        <v>227</v>
      </c>
      <c r="C124" s="43" t="s">
        <v>16</v>
      </c>
      <c r="D124" s="43" t="s">
        <v>42</v>
      </c>
      <c r="E124" s="43" t="n">
        <v>57</v>
      </c>
      <c r="F124" s="43" t="s">
        <v>61</v>
      </c>
      <c r="G124" s="43" t="n">
        <v>2015</v>
      </c>
      <c r="H124" s="43" t="s">
        <v>44</v>
      </c>
      <c r="I124" s="43" t="n">
        <v>49261</v>
      </c>
    </row>
    <row r="125" customFormat="false" ht="15" hidden="false" customHeight="false" outlineLevel="0" collapsed="false">
      <c r="A125" s="44" t="s">
        <v>246</v>
      </c>
      <c r="B125" s="44" t="s">
        <v>241</v>
      </c>
      <c r="C125" s="44" t="s">
        <v>16</v>
      </c>
      <c r="D125" s="44" t="s">
        <v>42</v>
      </c>
      <c r="E125" s="44" t="n">
        <v>37</v>
      </c>
      <c r="F125" s="44" t="s">
        <v>61</v>
      </c>
      <c r="G125" s="44" t="n">
        <v>2020</v>
      </c>
      <c r="H125" s="44" t="s">
        <v>44</v>
      </c>
      <c r="I125" s="44" t="n">
        <v>80878</v>
      </c>
    </row>
    <row r="126" customFormat="false" ht="15" hidden="false" customHeight="false" outlineLevel="0" collapsed="false">
      <c r="A126" s="43" t="s">
        <v>247</v>
      </c>
      <c r="B126" s="43" t="s">
        <v>196</v>
      </c>
      <c r="C126" s="43" t="s">
        <v>16</v>
      </c>
      <c r="D126" s="43" t="s">
        <v>47</v>
      </c>
      <c r="E126" s="43" t="n">
        <v>34</v>
      </c>
      <c r="F126" s="43" t="s">
        <v>61</v>
      </c>
      <c r="G126" s="43" t="n">
        <v>2018</v>
      </c>
      <c r="H126" s="43" t="s">
        <v>44</v>
      </c>
      <c r="I126" s="43" t="n">
        <v>106360</v>
      </c>
    </row>
    <row r="127" customFormat="false" ht="15" hidden="false" customHeight="false" outlineLevel="0" collapsed="false">
      <c r="A127" s="44" t="s">
        <v>248</v>
      </c>
      <c r="B127" s="44" t="s">
        <v>249</v>
      </c>
      <c r="C127" s="44" t="s">
        <v>16</v>
      </c>
      <c r="D127" s="44" t="s">
        <v>42</v>
      </c>
      <c r="E127" s="44" t="n">
        <v>45</v>
      </c>
      <c r="F127" s="44" t="s">
        <v>54</v>
      </c>
      <c r="G127" s="44" t="n">
        <v>2017</v>
      </c>
      <c r="H127" s="44" t="s">
        <v>44</v>
      </c>
      <c r="I127" s="44" t="n">
        <v>124259</v>
      </c>
    </row>
    <row r="128" customFormat="false" ht="15" hidden="false" customHeight="false" outlineLevel="0" collapsed="false">
      <c r="A128" s="43" t="s">
        <v>250</v>
      </c>
      <c r="B128" s="43" t="s">
        <v>201</v>
      </c>
      <c r="C128" s="43" t="s">
        <v>16</v>
      </c>
      <c r="D128" s="43" t="s">
        <v>47</v>
      </c>
      <c r="E128" s="43" t="n">
        <v>58</v>
      </c>
      <c r="F128" s="43" t="s">
        <v>43</v>
      </c>
      <c r="G128" s="43" t="n">
        <v>2021</v>
      </c>
      <c r="H128" s="43" t="s">
        <v>44</v>
      </c>
      <c r="I128" s="43" t="n">
        <v>92811</v>
      </c>
    </row>
    <row r="129" customFormat="false" ht="15" hidden="false" customHeight="false" outlineLevel="0" collapsed="false">
      <c r="A129" s="44" t="s">
        <v>251</v>
      </c>
      <c r="B129" s="44" t="s">
        <v>95</v>
      </c>
      <c r="C129" s="44" t="s">
        <v>16</v>
      </c>
      <c r="D129" s="44" t="s">
        <v>47</v>
      </c>
      <c r="E129" s="44" t="n">
        <v>41</v>
      </c>
      <c r="F129" s="44" t="s">
        <v>61</v>
      </c>
      <c r="G129" s="44" t="n">
        <v>2018</v>
      </c>
      <c r="H129" s="44" t="s">
        <v>44</v>
      </c>
      <c r="I129" s="44" t="n">
        <v>90422</v>
      </c>
    </row>
    <row r="130" customFormat="false" ht="15" hidden="false" customHeight="false" outlineLevel="0" collapsed="false">
      <c r="A130" s="43" t="s">
        <v>252</v>
      </c>
      <c r="B130" s="43" t="s">
        <v>171</v>
      </c>
      <c r="C130" s="43" t="s">
        <v>16</v>
      </c>
      <c r="D130" s="43" t="s">
        <v>47</v>
      </c>
      <c r="E130" s="43" t="n">
        <v>48</v>
      </c>
      <c r="F130" s="43" t="s">
        <v>54</v>
      </c>
      <c r="G130" s="43" t="n">
        <v>2017</v>
      </c>
      <c r="H130" s="43" t="s">
        <v>44</v>
      </c>
      <c r="I130" s="43" t="n">
        <v>124085</v>
      </c>
    </row>
    <row r="131" customFormat="false" ht="15" hidden="false" customHeight="false" outlineLevel="0" collapsed="false">
      <c r="A131" s="44" t="s">
        <v>253</v>
      </c>
      <c r="B131" s="44" t="s">
        <v>92</v>
      </c>
      <c r="C131" s="44" t="s">
        <v>16</v>
      </c>
      <c r="D131" s="44" t="s">
        <v>42</v>
      </c>
      <c r="E131" s="44" t="n">
        <v>41</v>
      </c>
      <c r="F131" s="44" t="s">
        <v>43</v>
      </c>
      <c r="G131" s="44" t="n">
        <v>2015</v>
      </c>
      <c r="H131" s="44" t="s">
        <v>44</v>
      </c>
      <c r="I131" s="44" t="n">
        <v>116635</v>
      </c>
    </row>
    <row r="132" customFormat="false" ht="15" hidden="false" customHeight="false" outlineLevel="0" collapsed="false">
      <c r="A132" s="46" t="s">
        <v>254</v>
      </c>
      <c r="B132" s="46" t="s">
        <v>174</v>
      </c>
      <c r="C132" s="46" t="s">
        <v>16</v>
      </c>
      <c r="D132" s="46" t="s">
        <v>42</v>
      </c>
      <c r="E132" s="46" t="n">
        <v>40</v>
      </c>
      <c r="F132" s="46" t="s">
        <v>48</v>
      </c>
      <c r="G132" s="46" t="n">
        <v>2023</v>
      </c>
      <c r="H132" s="46" t="s">
        <v>76</v>
      </c>
      <c r="I132" s="46" t="n">
        <v>61562</v>
      </c>
    </row>
    <row r="133" customFormat="false" ht="15" hidden="false" customHeight="false" outlineLevel="0" collapsed="false">
      <c r="A133" s="44" t="s">
        <v>255</v>
      </c>
      <c r="B133" s="44" t="s">
        <v>249</v>
      </c>
      <c r="C133" s="44" t="s">
        <v>16</v>
      </c>
      <c r="D133" s="44" t="s">
        <v>47</v>
      </c>
      <c r="E133" s="44" t="n">
        <v>53</v>
      </c>
      <c r="F133" s="44" t="s">
        <v>61</v>
      </c>
      <c r="G133" s="44" t="n">
        <v>2018</v>
      </c>
      <c r="H133" s="44" t="s">
        <v>44</v>
      </c>
      <c r="I133" s="44" t="n">
        <v>88385</v>
      </c>
    </row>
    <row r="134" customFormat="false" ht="15" hidden="false" customHeight="false" outlineLevel="0" collapsed="false">
      <c r="A134" s="43" t="s">
        <v>256</v>
      </c>
      <c r="B134" s="43" t="s">
        <v>257</v>
      </c>
      <c r="C134" s="43" t="s">
        <v>16</v>
      </c>
      <c r="D134" s="43" t="s">
        <v>42</v>
      </c>
      <c r="E134" s="43" t="n">
        <v>55</v>
      </c>
      <c r="F134" s="43" t="s">
        <v>54</v>
      </c>
      <c r="G134" s="43" t="n">
        <v>2020</v>
      </c>
      <c r="H134" s="43" t="s">
        <v>44</v>
      </c>
      <c r="I134" s="43" t="n">
        <v>86850</v>
      </c>
    </row>
    <row r="135" customFormat="false" ht="15" hidden="false" customHeight="false" outlineLevel="0" collapsed="false">
      <c r="A135" s="44" t="s">
        <v>258</v>
      </c>
      <c r="B135" s="44" t="s">
        <v>201</v>
      </c>
      <c r="C135" s="44" t="s">
        <v>16</v>
      </c>
      <c r="D135" s="44" t="s">
        <v>42</v>
      </c>
      <c r="E135" s="44" t="n">
        <v>45</v>
      </c>
      <c r="F135" s="44" t="s">
        <v>48</v>
      </c>
      <c r="G135" s="44" t="n">
        <v>2019</v>
      </c>
      <c r="H135" s="44" t="s">
        <v>44</v>
      </c>
      <c r="I135" s="44" t="n">
        <v>82325</v>
      </c>
    </row>
    <row r="136" customFormat="false" ht="15" hidden="false" customHeight="false" outlineLevel="0" collapsed="false">
      <c r="A136" s="43" t="s">
        <v>259</v>
      </c>
      <c r="B136" s="43" t="s">
        <v>60</v>
      </c>
      <c r="C136" s="43" t="s">
        <v>16</v>
      </c>
      <c r="D136" s="43" t="s">
        <v>47</v>
      </c>
      <c r="E136" s="43" t="n">
        <v>28</v>
      </c>
      <c r="F136" s="43" t="s">
        <v>54</v>
      </c>
      <c r="G136" s="43" t="n">
        <v>2022</v>
      </c>
      <c r="H136" s="43" t="s">
        <v>44</v>
      </c>
      <c r="I136" s="43" t="n">
        <v>62935</v>
      </c>
    </row>
    <row r="137" customFormat="false" ht="15" hidden="false" customHeight="false" outlineLevel="0" collapsed="false">
      <c r="A137" s="44" t="s">
        <v>260</v>
      </c>
      <c r="B137" s="44" t="s">
        <v>56</v>
      </c>
      <c r="C137" s="44" t="s">
        <v>16</v>
      </c>
      <c r="D137" s="44" t="s">
        <v>42</v>
      </c>
      <c r="E137" s="44" t="n">
        <v>55</v>
      </c>
      <c r="F137" s="44" t="s">
        <v>54</v>
      </c>
      <c r="G137" s="44" t="n">
        <v>2019</v>
      </c>
      <c r="H137" s="44" t="s">
        <v>44</v>
      </c>
      <c r="I137" s="44" t="n">
        <v>70308</v>
      </c>
    </row>
    <row r="138" customFormat="false" ht="15" hidden="false" customHeight="false" outlineLevel="0" collapsed="false">
      <c r="A138" s="43" t="s">
        <v>261</v>
      </c>
      <c r="B138" s="43" t="s">
        <v>80</v>
      </c>
      <c r="C138" s="43" t="s">
        <v>16</v>
      </c>
      <c r="D138" s="43" t="s">
        <v>47</v>
      </c>
      <c r="E138" s="43" t="n">
        <v>36</v>
      </c>
      <c r="F138" s="43" t="s">
        <v>54</v>
      </c>
      <c r="G138" s="43" t="n">
        <v>2020</v>
      </c>
      <c r="H138" s="43" t="s">
        <v>44</v>
      </c>
      <c r="I138" s="43" t="n">
        <v>48916</v>
      </c>
    </row>
    <row r="139" customFormat="false" ht="15" hidden="false" customHeight="false" outlineLevel="0" collapsed="false">
      <c r="A139" s="44" t="s">
        <v>262</v>
      </c>
      <c r="B139" s="44" t="s">
        <v>50</v>
      </c>
      <c r="C139" s="44" t="s">
        <v>16</v>
      </c>
      <c r="D139" s="44" t="s">
        <v>42</v>
      </c>
      <c r="E139" s="44" t="n">
        <v>41</v>
      </c>
      <c r="F139" s="44" t="s">
        <v>43</v>
      </c>
      <c r="G139" s="44" t="n">
        <v>2021</v>
      </c>
      <c r="H139" s="44" t="s">
        <v>44</v>
      </c>
      <c r="I139" s="44" t="n">
        <v>93411</v>
      </c>
    </row>
    <row r="140" customFormat="false" ht="15" hidden="false" customHeight="false" outlineLevel="0" collapsed="false">
      <c r="A140" s="43" t="s">
        <v>263</v>
      </c>
      <c r="B140" s="43" t="s">
        <v>107</v>
      </c>
      <c r="C140" s="43" t="s">
        <v>16</v>
      </c>
      <c r="D140" s="43" t="s">
        <v>42</v>
      </c>
      <c r="E140" s="43" t="n">
        <v>58</v>
      </c>
      <c r="F140" s="43" t="s">
        <v>54</v>
      </c>
      <c r="G140" s="43" t="n">
        <v>2016</v>
      </c>
      <c r="H140" s="43" t="s">
        <v>44</v>
      </c>
      <c r="I140" s="43" t="n">
        <v>43039</v>
      </c>
    </row>
    <row r="141" customFormat="false" ht="15" hidden="false" customHeight="false" outlineLevel="0" collapsed="false">
      <c r="A141" s="44" t="s">
        <v>264</v>
      </c>
      <c r="B141" s="44" t="s">
        <v>244</v>
      </c>
      <c r="C141" s="44" t="s">
        <v>16</v>
      </c>
      <c r="D141" s="44" t="s">
        <v>47</v>
      </c>
      <c r="E141" s="44" t="n">
        <v>40</v>
      </c>
      <c r="F141" s="44" t="s">
        <v>54</v>
      </c>
      <c r="G141" s="44" t="n">
        <v>2017</v>
      </c>
      <c r="H141" s="44" t="s">
        <v>44</v>
      </c>
      <c r="I141" s="44" t="n">
        <v>91179</v>
      </c>
    </row>
    <row r="142" customFormat="false" ht="15" hidden="false" customHeight="false" outlineLevel="0" collapsed="false">
      <c r="A142" s="43" t="s">
        <v>265</v>
      </c>
      <c r="B142" s="43" t="s">
        <v>122</v>
      </c>
      <c r="C142" s="43" t="s">
        <v>16</v>
      </c>
      <c r="D142" s="43" t="s">
        <v>47</v>
      </c>
      <c r="E142" s="43" t="n">
        <v>23</v>
      </c>
      <c r="F142" s="43" t="s">
        <v>48</v>
      </c>
      <c r="G142" s="43" t="n">
        <v>2022</v>
      </c>
      <c r="H142" s="43" t="s">
        <v>44</v>
      </c>
      <c r="I142" s="43" t="n">
        <v>133638</v>
      </c>
    </row>
    <row r="143" customFormat="false" ht="15" hidden="false" customHeight="false" outlineLevel="0" collapsed="false">
      <c r="A143" s="44" t="s">
        <v>266</v>
      </c>
      <c r="B143" s="44" t="s">
        <v>159</v>
      </c>
      <c r="C143" s="44" t="s">
        <v>16</v>
      </c>
      <c r="D143" s="44" t="s">
        <v>47</v>
      </c>
      <c r="E143" s="44" t="n">
        <v>29</v>
      </c>
      <c r="F143" s="44" t="s">
        <v>51</v>
      </c>
      <c r="G143" s="44" t="n">
        <v>2019</v>
      </c>
      <c r="H143" s="44" t="s">
        <v>44</v>
      </c>
      <c r="I143" s="44" t="n">
        <v>73612</v>
      </c>
    </row>
    <row r="144" customFormat="false" ht="15" hidden="false" customHeight="false" outlineLevel="0" collapsed="false">
      <c r="A144" s="46" t="s">
        <v>267</v>
      </c>
      <c r="B144" s="46" t="s">
        <v>268</v>
      </c>
      <c r="C144" s="46" t="s">
        <v>16</v>
      </c>
      <c r="D144" s="46" t="s">
        <v>47</v>
      </c>
      <c r="E144" s="46" t="n">
        <v>35</v>
      </c>
      <c r="F144" s="46" t="s">
        <v>54</v>
      </c>
      <c r="G144" s="46" t="n">
        <v>2016</v>
      </c>
      <c r="H144" s="46" t="s">
        <v>81</v>
      </c>
      <c r="I144" s="46" t="n">
        <v>135955</v>
      </c>
    </row>
    <row r="145" customFormat="false" ht="15" hidden="false" customHeight="false" outlineLevel="0" collapsed="false">
      <c r="A145" s="44" t="s">
        <v>269</v>
      </c>
      <c r="B145" s="44" t="s">
        <v>270</v>
      </c>
      <c r="C145" s="44" t="s">
        <v>16</v>
      </c>
      <c r="D145" s="44" t="s">
        <v>47</v>
      </c>
      <c r="E145" s="44" t="n">
        <v>40</v>
      </c>
      <c r="F145" s="44" t="s">
        <v>43</v>
      </c>
      <c r="G145" s="44" t="n">
        <v>2024</v>
      </c>
      <c r="H145" s="44" t="s">
        <v>44</v>
      </c>
      <c r="I145" s="44" t="n">
        <v>55396</v>
      </c>
    </row>
    <row r="146" customFormat="false" ht="15" hidden="false" customHeight="false" outlineLevel="0" collapsed="false">
      <c r="A146" s="43" t="s">
        <v>271</v>
      </c>
      <c r="B146" s="43" t="s">
        <v>272</v>
      </c>
      <c r="C146" s="43" t="s">
        <v>16</v>
      </c>
      <c r="D146" s="43" t="s">
        <v>47</v>
      </c>
      <c r="E146" s="43" t="n">
        <v>54</v>
      </c>
      <c r="F146" s="43" t="s">
        <v>51</v>
      </c>
      <c r="G146" s="43" t="n">
        <v>2016</v>
      </c>
      <c r="H146" s="43" t="s">
        <v>44</v>
      </c>
      <c r="I146" s="43" t="n">
        <v>97372</v>
      </c>
    </row>
    <row r="147" customFormat="false" ht="15" hidden="false" customHeight="false" outlineLevel="0" collapsed="false">
      <c r="A147" s="44" t="s">
        <v>273</v>
      </c>
      <c r="B147" s="44" t="s">
        <v>274</v>
      </c>
      <c r="C147" s="44" t="s">
        <v>18</v>
      </c>
      <c r="D147" s="44" t="s">
        <v>42</v>
      </c>
      <c r="E147" s="44" t="n">
        <v>40</v>
      </c>
      <c r="F147" s="44" t="s">
        <v>61</v>
      </c>
      <c r="G147" s="44" t="n">
        <v>2017</v>
      </c>
      <c r="H147" s="44" t="s">
        <v>44</v>
      </c>
      <c r="I147" s="44" t="n">
        <v>48255</v>
      </c>
    </row>
    <row r="148" customFormat="false" ht="15" hidden="false" customHeight="false" outlineLevel="0" collapsed="false">
      <c r="A148" s="43" t="s">
        <v>275</v>
      </c>
      <c r="B148" s="43" t="s">
        <v>101</v>
      </c>
      <c r="C148" s="43" t="s">
        <v>18</v>
      </c>
      <c r="D148" s="43" t="s">
        <v>47</v>
      </c>
      <c r="E148" s="43" t="n">
        <v>48</v>
      </c>
      <c r="F148" s="43" t="s">
        <v>43</v>
      </c>
      <c r="G148" s="43" t="n">
        <v>2015</v>
      </c>
      <c r="H148" s="43" t="s">
        <v>44</v>
      </c>
      <c r="I148" s="43" t="n">
        <v>101146</v>
      </c>
    </row>
    <row r="149" customFormat="false" ht="15" hidden="false" customHeight="false" outlineLevel="0" collapsed="false">
      <c r="A149" s="44" t="s">
        <v>276</v>
      </c>
      <c r="B149" s="44" t="s">
        <v>207</v>
      </c>
      <c r="C149" s="44" t="s">
        <v>18</v>
      </c>
      <c r="D149" s="44" t="s">
        <v>47</v>
      </c>
      <c r="E149" s="44" t="n">
        <v>27</v>
      </c>
      <c r="F149" s="44" t="s">
        <v>48</v>
      </c>
      <c r="G149" s="44" t="n">
        <v>2023</v>
      </c>
      <c r="H149" s="44" t="s">
        <v>44</v>
      </c>
      <c r="I149" s="44" t="n">
        <v>129520</v>
      </c>
    </row>
    <row r="150" customFormat="false" ht="15" hidden="false" customHeight="false" outlineLevel="0" collapsed="false">
      <c r="A150" s="43" t="s">
        <v>277</v>
      </c>
      <c r="B150" s="43" t="s">
        <v>95</v>
      </c>
      <c r="C150" s="43" t="s">
        <v>18</v>
      </c>
      <c r="D150" s="43" t="s">
        <v>47</v>
      </c>
      <c r="E150" s="43" t="n">
        <v>44</v>
      </c>
      <c r="F150" s="43" t="s">
        <v>43</v>
      </c>
      <c r="G150" s="43" t="n">
        <v>2021</v>
      </c>
      <c r="H150" s="43" t="s">
        <v>44</v>
      </c>
      <c r="I150" s="43" t="n">
        <v>97013</v>
      </c>
    </row>
    <row r="151" customFormat="false" ht="15" hidden="false" customHeight="false" outlineLevel="0" collapsed="false">
      <c r="A151" s="44" t="s">
        <v>278</v>
      </c>
      <c r="B151" s="44" t="s">
        <v>58</v>
      </c>
      <c r="C151" s="44" t="s">
        <v>18</v>
      </c>
      <c r="D151" s="44" t="s">
        <v>47</v>
      </c>
      <c r="E151" s="44" t="n">
        <v>26</v>
      </c>
      <c r="F151" s="44" t="s">
        <v>61</v>
      </c>
      <c r="G151" s="44" t="n">
        <v>2022</v>
      </c>
      <c r="H151" s="44" t="s">
        <v>44</v>
      </c>
      <c r="I151" s="44" t="n">
        <v>106029</v>
      </c>
    </row>
    <row r="152" customFormat="false" ht="15" hidden="false" customHeight="false" outlineLevel="0" collapsed="false">
      <c r="A152" s="43" t="s">
        <v>279</v>
      </c>
      <c r="B152" s="43" t="s">
        <v>270</v>
      </c>
      <c r="C152" s="43" t="s">
        <v>18</v>
      </c>
      <c r="D152" s="43" t="s">
        <v>42</v>
      </c>
      <c r="E152" s="43" t="n">
        <v>49</v>
      </c>
      <c r="F152" s="43" t="s">
        <v>61</v>
      </c>
      <c r="G152" s="43" t="n">
        <v>2023</v>
      </c>
      <c r="H152" s="43" t="s">
        <v>44</v>
      </c>
      <c r="I152" s="43" t="n">
        <v>72880</v>
      </c>
    </row>
    <row r="153" customFormat="false" ht="15" hidden="false" customHeight="false" outlineLevel="0" collapsed="false">
      <c r="A153" s="44" t="s">
        <v>280</v>
      </c>
      <c r="B153" s="44" t="s">
        <v>143</v>
      </c>
      <c r="C153" s="44" t="s">
        <v>18</v>
      </c>
      <c r="D153" s="44" t="s">
        <v>47</v>
      </c>
      <c r="E153" s="44" t="n">
        <v>37</v>
      </c>
      <c r="F153" s="44" t="s">
        <v>61</v>
      </c>
      <c r="G153" s="44" t="n">
        <v>2020</v>
      </c>
      <c r="H153" s="44" t="s">
        <v>44</v>
      </c>
      <c r="I153" s="44" t="n">
        <v>70746</v>
      </c>
    </row>
    <row r="154" customFormat="false" ht="15" hidden="false" customHeight="false" outlineLevel="0" collapsed="false">
      <c r="A154" s="43" t="s">
        <v>281</v>
      </c>
      <c r="B154" s="43" t="s">
        <v>105</v>
      </c>
      <c r="C154" s="43" t="s">
        <v>18</v>
      </c>
      <c r="D154" s="43" t="s">
        <v>47</v>
      </c>
      <c r="E154" s="43" t="n">
        <v>41</v>
      </c>
      <c r="F154" s="43" t="s">
        <v>43</v>
      </c>
      <c r="G154" s="43" t="n">
        <v>2024</v>
      </c>
      <c r="H154" s="43" t="s">
        <v>44</v>
      </c>
      <c r="I154" s="43" t="n">
        <v>82381</v>
      </c>
    </row>
    <row r="155" customFormat="false" ht="15" hidden="false" customHeight="false" outlineLevel="0" collapsed="false">
      <c r="A155" s="44" t="s">
        <v>282</v>
      </c>
      <c r="B155" s="44" t="s">
        <v>56</v>
      </c>
      <c r="C155" s="44" t="s">
        <v>18</v>
      </c>
      <c r="D155" s="44" t="s">
        <v>42</v>
      </c>
      <c r="E155" s="44" t="n">
        <v>37</v>
      </c>
      <c r="F155" s="44" t="s">
        <v>54</v>
      </c>
      <c r="G155" s="44" t="n">
        <v>2023</v>
      </c>
      <c r="H155" s="44" t="s">
        <v>44</v>
      </c>
      <c r="I155" s="44" t="n">
        <v>137110</v>
      </c>
    </row>
    <row r="156" customFormat="false" ht="15" hidden="false" customHeight="false" outlineLevel="0" collapsed="false">
      <c r="A156" s="43" t="s">
        <v>283</v>
      </c>
      <c r="B156" s="43" t="s">
        <v>133</v>
      </c>
      <c r="C156" s="43" t="s">
        <v>18</v>
      </c>
      <c r="D156" s="43" t="s">
        <v>42</v>
      </c>
      <c r="E156" s="43" t="n">
        <v>34</v>
      </c>
      <c r="F156" s="43" t="s">
        <v>43</v>
      </c>
      <c r="G156" s="43" t="n">
        <v>2021</v>
      </c>
      <c r="H156" s="43" t="s">
        <v>44</v>
      </c>
      <c r="I156" s="43" t="n">
        <v>49943</v>
      </c>
    </row>
    <row r="157" customFormat="false" ht="15" hidden="false" customHeight="false" outlineLevel="0" collapsed="false">
      <c r="A157" s="44" t="s">
        <v>284</v>
      </c>
      <c r="B157" s="44" t="s">
        <v>219</v>
      </c>
      <c r="C157" s="44" t="s">
        <v>18</v>
      </c>
      <c r="D157" s="44" t="s">
        <v>42</v>
      </c>
      <c r="E157" s="44" t="n">
        <v>22</v>
      </c>
      <c r="F157" s="44" t="s">
        <v>43</v>
      </c>
      <c r="G157" s="44" t="n">
        <v>2017</v>
      </c>
      <c r="H157" s="44" t="s">
        <v>44</v>
      </c>
      <c r="I157" s="44" t="n">
        <v>98290</v>
      </c>
    </row>
    <row r="158" customFormat="false" ht="15" hidden="false" customHeight="false" outlineLevel="0" collapsed="false">
      <c r="A158" s="43" t="s">
        <v>285</v>
      </c>
      <c r="B158" s="43" t="s">
        <v>286</v>
      </c>
      <c r="C158" s="43" t="s">
        <v>18</v>
      </c>
      <c r="D158" s="43" t="s">
        <v>47</v>
      </c>
      <c r="E158" s="43" t="n">
        <v>41</v>
      </c>
      <c r="F158" s="43" t="s">
        <v>61</v>
      </c>
      <c r="G158" s="43" t="n">
        <v>2021</v>
      </c>
      <c r="H158" s="43" t="s">
        <v>44</v>
      </c>
      <c r="I158" s="43" t="n">
        <v>43368</v>
      </c>
    </row>
    <row r="159" customFormat="false" ht="15" hidden="false" customHeight="false" outlineLevel="0" collapsed="false">
      <c r="A159" s="44" t="s">
        <v>287</v>
      </c>
      <c r="B159" s="44" t="s">
        <v>288</v>
      </c>
      <c r="C159" s="44" t="s">
        <v>18</v>
      </c>
      <c r="D159" s="44" t="s">
        <v>47</v>
      </c>
      <c r="E159" s="44" t="n">
        <v>28</v>
      </c>
      <c r="F159" s="44" t="s">
        <v>48</v>
      </c>
      <c r="G159" s="44" t="n">
        <v>2022</v>
      </c>
      <c r="H159" s="44" t="s">
        <v>44</v>
      </c>
      <c r="I159" s="44" t="n">
        <v>45751</v>
      </c>
    </row>
    <row r="160" customFormat="false" ht="15" hidden="false" customHeight="false" outlineLevel="0" collapsed="false">
      <c r="A160" s="43" t="s">
        <v>289</v>
      </c>
      <c r="B160" s="43" t="s">
        <v>183</v>
      </c>
      <c r="C160" s="43" t="s">
        <v>18</v>
      </c>
      <c r="D160" s="43" t="s">
        <v>42</v>
      </c>
      <c r="E160" s="43" t="n">
        <v>42</v>
      </c>
      <c r="F160" s="43" t="s">
        <v>61</v>
      </c>
      <c r="G160" s="43" t="n">
        <v>2017</v>
      </c>
      <c r="H160" s="43" t="s">
        <v>44</v>
      </c>
      <c r="I160" s="43" t="n">
        <v>94168</v>
      </c>
    </row>
    <row r="161" customFormat="false" ht="15" hidden="false" customHeight="false" outlineLevel="0" collapsed="false">
      <c r="A161" s="44" t="s">
        <v>290</v>
      </c>
      <c r="B161" s="44" t="s">
        <v>286</v>
      </c>
      <c r="C161" s="44" t="s">
        <v>18</v>
      </c>
      <c r="D161" s="44" t="s">
        <v>42</v>
      </c>
      <c r="E161" s="44" t="n">
        <v>51</v>
      </c>
      <c r="F161" s="44" t="s">
        <v>54</v>
      </c>
      <c r="G161" s="44" t="n">
        <v>2023</v>
      </c>
      <c r="H161" s="44" t="s">
        <v>44</v>
      </c>
      <c r="I161" s="44" t="n">
        <v>43290</v>
      </c>
    </row>
    <row r="162" customFormat="false" ht="15" hidden="false" customHeight="false" outlineLevel="0" collapsed="false">
      <c r="A162" s="43" t="s">
        <v>291</v>
      </c>
      <c r="B162" s="43" t="s">
        <v>212</v>
      </c>
      <c r="C162" s="43" t="s">
        <v>18</v>
      </c>
      <c r="D162" s="43" t="s">
        <v>42</v>
      </c>
      <c r="E162" s="43" t="n">
        <v>48</v>
      </c>
      <c r="F162" s="43" t="s">
        <v>43</v>
      </c>
      <c r="G162" s="43" t="n">
        <v>2022</v>
      </c>
      <c r="H162" s="43" t="s">
        <v>44</v>
      </c>
      <c r="I162" s="43" t="n">
        <v>50450</v>
      </c>
    </row>
    <row r="163" customFormat="false" ht="15" hidden="false" customHeight="false" outlineLevel="0" collapsed="false">
      <c r="A163" s="44" t="s">
        <v>292</v>
      </c>
      <c r="B163" s="44" t="s">
        <v>293</v>
      </c>
      <c r="C163" s="44" t="s">
        <v>18</v>
      </c>
      <c r="D163" s="44" t="s">
        <v>42</v>
      </c>
      <c r="E163" s="44" t="n">
        <v>56</v>
      </c>
      <c r="F163" s="44" t="s">
        <v>43</v>
      </c>
      <c r="G163" s="44" t="n">
        <v>2021</v>
      </c>
      <c r="H163" s="44" t="s">
        <v>44</v>
      </c>
      <c r="I163" s="44" t="n">
        <v>65360</v>
      </c>
    </row>
    <row r="164" customFormat="false" ht="15" hidden="false" customHeight="false" outlineLevel="0" collapsed="false">
      <c r="A164" s="43" t="s">
        <v>294</v>
      </c>
      <c r="B164" s="43" t="s">
        <v>143</v>
      </c>
      <c r="C164" s="43" t="s">
        <v>18</v>
      </c>
      <c r="D164" s="43" t="s">
        <v>47</v>
      </c>
      <c r="E164" s="43" t="n">
        <v>34</v>
      </c>
      <c r="F164" s="43" t="s">
        <v>43</v>
      </c>
      <c r="G164" s="43" t="n">
        <v>2016</v>
      </c>
      <c r="H164" s="43" t="s">
        <v>44</v>
      </c>
      <c r="I164" s="43" t="n">
        <v>71011</v>
      </c>
    </row>
    <row r="165" customFormat="false" ht="15" hidden="false" customHeight="false" outlineLevel="0" collapsed="false">
      <c r="A165" s="44" t="s">
        <v>295</v>
      </c>
      <c r="B165" s="44" t="s">
        <v>122</v>
      </c>
      <c r="C165" s="44" t="s">
        <v>18</v>
      </c>
      <c r="D165" s="44" t="s">
        <v>42</v>
      </c>
      <c r="E165" s="44" t="n">
        <v>40</v>
      </c>
      <c r="F165" s="44" t="s">
        <v>48</v>
      </c>
      <c r="G165" s="44" t="n">
        <v>2022</v>
      </c>
      <c r="H165" s="44" t="s">
        <v>44</v>
      </c>
      <c r="I165" s="44" t="n">
        <v>104634</v>
      </c>
    </row>
    <row r="166" customFormat="false" ht="15" hidden="false" customHeight="false" outlineLevel="0" collapsed="false">
      <c r="A166" s="43" t="s">
        <v>296</v>
      </c>
      <c r="B166" s="43" t="s">
        <v>181</v>
      </c>
      <c r="C166" s="43" t="s">
        <v>18</v>
      </c>
      <c r="D166" s="43" t="s">
        <v>42</v>
      </c>
      <c r="E166" s="43" t="n">
        <v>47</v>
      </c>
      <c r="F166" s="43" t="s">
        <v>48</v>
      </c>
      <c r="G166" s="43" t="n">
        <v>2020</v>
      </c>
      <c r="H166" s="43" t="s">
        <v>44</v>
      </c>
      <c r="I166" s="43" t="n">
        <v>101739</v>
      </c>
    </row>
    <row r="167" customFormat="false" ht="15" hidden="false" customHeight="false" outlineLevel="0" collapsed="false">
      <c r="A167" s="44" t="s">
        <v>297</v>
      </c>
      <c r="B167" s="44" t="s">
        <v>112</v>
      </c>
      <c r="C167" s="44" t="s">
        <v>19</v>
      </c>
      <c r="D167" s="44" t="s">
        <v>42</v>
      </c>
      <c r="E167" s="44" t="n">
        <v>45</v>
      </c>
      <c r="F167" s="44" t="s">
        <v>48</v>
      </c>
      <c r="G167" s="44" t="n">
        <v>2020</v>
      </c>
      <c r="H167" s="44" t="s">
        <v>44</v>
      </c>
      <c r="I167" s="44" t="n">
        <v>99820</v>
      </c>
    </row>
    <row r="168" customFormat="false" ht="15" hidden="false" customHeight="false" outlineLevel="0" collapsed="false">
      <c r="A168" s="43" t="s">
        <v>298</v>
      </c>
      <c r="B168" s="43" t="s">
        <v>299</v>
      </c>
      <c r="C168" s="43" t="s">
        <v>19</v>
      </c>
      <c r="D168" s="43" t="s">
        <v>42</v>
      </c>
      <c r="E168" s="43" t="n">
        <v>33</v>
      </c>
      <c r="F168" s="43" t="s">
        <v>61</v>
      </c>
      <c r="G168" s="43" t="n">
        <v>2023</v>
      </c>
      <c r="H168" s="43" t="s">
        <v>44</v>
      </c>
      <c r="I168" s="43" t="n">
        <v>149835</v>
      </c>
    </row>
    <row r="169" customFormat="false" ht="15" hidden="false" customHeight="false" outlineLevel="0" collapsed="false">
      <c r="A169" s="44" t="s">
        <v>300</v>
      </c>
      <c r="B169" s="44" t="s">
        <v>301</v>
      </c>
      <c r="C169" s="44" t="s">
        <v>19</v>
      </c>
      <c r="D169" s="44" t="s">
        <v>47</v>
      </c>
      <c r="E169" s="44" t="n">
        <v>41</v>
      </c>
      <c r="F169" s="44" t="s">
        <v>54</v>
      </c>
      <c r="G169" s="44" t="n">
        <v>2016</v>
      </c>
      <c r="H169" s="44" t="s">
        <v>44</v>
      </c>
      <c r="I169" s="44" t="n">
        <v>43904</v>
      </c>
    </row>
    <row r="170" customFormat="false" ht="15" hidden="false" customHeight="false" outlineLevel="0" collapsed="false">
      <c r="A170" s="43" t="s">
        <v>302</v>
      </c>
      <c r="B170" s="43" t="s">
        <v>286</v>
      </c>
      <c r="C170" s="43" t="s">
        <v>19</v>
      </c>
      <c r="D170" s="43" t="s">
        <v>47</v>
      </c>
      <c r="E170" s="43" t="n">
        <v>41</v>
      </c>
      <c r="F170" s="43" t="s">
        <v>43</v>
      </c>
      <c r="G170" s="43" t="n">
        <v>2019</v>
      </c>
      <c r="H170" s="43" t="s">
        <v>44</v>
      </c>
      <c r="I170" s="43" t="n">
        <v>45471</v>
      </c>
    </row>
    <row r="171" customFormat="false" ht="15" hidden="false" customHeight="false" outlineLevel="0" collapsed="false">
      <c r="A171" s="44" t="s">
        <v>303</v>
      </c>
      <c r="B171" s="44" t="s">
        <v>304</v>
      </c>
      <c r="C171" s="44" t="s">
        <v>19</v>
      </c>
      <c r="D171" s="44" t="s">
        <v>47</v>
      </c>
      <c r="E171" s="44" t="n">
        <v>46</v>
      </c>
      <c r="F171" s="44" t="s">
        <v>61</v>
      </c>
      <c r="G171" s="44" t="n">
        <v>2020</v>
      </c>
      <c r="H171" s="44" t="s">
        <v>44</v>
      </c>
      <c r="I171" s="44" t="n">
        <v>64405</v>
      </c>
    </row>
    <row r="172" customFormat="false" ht="15" hidden="false" customHeight="false" outlineLevel="0" collapsed="false">
      <c r="A172" s="43" t="s">
        <v>305</v>
      </c>
      <c r="B172" s="43" t="s">
        <v>71</v>
      </c>
      <c r="C172" s="43" t="s">
        <v>19</v>
      </c>
      <c r="D172" s="43" t="s">
        <v>47</v>
      </c>
      <c r="E172" s="43" t="n">
        <v>36</v>
      </c>
      <c r="F172" s="43" t="s">
        <v>51</v>
      </c>
      <c r="G172" s="43" t="n">
        <v>2015</v>
      </c>
      <c r="H172" s="43" t="s">
        <v>44</v>
      </c>
      <c r="I172" s="43" t="n">
        <v>119181</v>
      </c>
    </row>
    <row r="173" customFormat="false" ht="15" hidden="false" customHeight="false" outlineLevel="0" collapsed="false">
      <c r="A173" s="44" t="s">
        <v>306</v>
      </c>
      <c r="B173" s="44" t="s">
        <v>307</v>
      </c>
      <c r="C173" s="44" t="s">
        <v>19</v>
      </c>
      <c r="D173" s="44" t="s">
        <v>47</v>
      </c>
      <c r="E173" s="44" t="n">
        <v>45</v>
      </c>
      <c r="F173" s="44" t="s">
        <v>43</v>
      </c>
      <c r="G173" s="44" t="n">
        <v>2019</v>
      </c>
      <c r="H173" s="44" t="s">
        <v>44</v>
      </c>
      <c r="I173" s="44" t="n">
        <v>95008</v>
      </c>
    </row>
    <row r="174" customFormat="false" ht="15" hidden="false" customHeight="false" outlineLevel="0" collapsed="false">
      <c r="A174" s="43" t="s">
        <v>308</v>
      </c>
      <c r="B174" s="43" t="s">
        <v>150</v>
      </c>
      <c r="C174" s="43" t="s">
        <v>19</v>
      </c>
      <c r="D174" s="43" t="s">
        <v>42</v>
      </c>
      <c r="E174" s="43" t="n">
        <v>23</v>
      </c>
      <c r="F174" s="43" t="s">
        <v>51</v>
      </c>
      <c r="G174" s="43" t="n">
        <v>2017</v>
      </c>
      <c r="H174" s="43" t="s">
        <v>44</v>
      </c>
      <c r="I174" s="43" t="n">
        <v>73942</v>
      </c>
    </row>
    <row r="175" customFormat="false" ht="15" hidden="false" customHeight="false" outlineLevel="0" collapsed="false">
      <c r="A175" s="45" t="s">
        <v>309</v>
      </c>
      <c r="B175" s="45" t="s">
        <v>69</v>
      </c>
      <c r="C175" s="45" t="s">
        <v>19</v>
      </c>
      <c r="D175" s="45" t="s">
        <v>47</v>
      </c>
      <c r="E175" s="45" t="n">
        <v>52</v>
      </c>
      <c r="F175" s="45" t="s">
        <v>51</v>
      </c>
      <c r="G175" s="45" t="n">
        <v>2016</v>
      </c>
      <c r="H175" s="45" t="s">
        <v>76</v>
      </c>
      <c r="I175" s="45" t="n">
        <v>123050</v>
      </c>
    </row>
    <row r="176" customFormat="false" ht="15" hidden="false" customHeight="false" outlineLevel="0" collapsed="false">
      <c r="A176" s="43" t="s">
        <v>310</v>
      </c>
      <c r="B176" s="43" t="s">
        <v>136</v>
      </c>
      <c r="C176" s="43" t="s">
        <v>19</v>
      </c>
      <c r="D176" s="43" t="s">
        <v>47</v>
      </c>
      <c r="E176" s="43" t="n">
        <v>29</v>
      </c>
      <c r="F176" s="43" t="s">
        <v>54</v>
      </c>
      <c r="G176" s="43" t="n">
        <v>2024</v>
      </c>
      <c r="H176" s="43" t="s">
        <v>44</v>
      </c>
      <c r="I176" s="43" t="n">
        <v>54018</v>
      </c>
    </row>
    <row r="177" customFormat="false" ht="15" hidden="false" customHeight="false" outlineLevel="0" collapsed="false">
      <c r="A177" s="44" t="s">
        <v>311</v>
      </c>
      <c r="B177" s="44" t="s">
        <v>101</v>
      </c>
      <c r="C177" s="44" t="s">
        <v>19</v>
      </c>
      <c r="D177" s="44" t="s">
        <v>47</v>
      </c>
      <c r="E177" s="44" t="n">
        <v>43</v>
      </c>
      <c r="F177" s="44" t="s">
        <v>51</v>
      </c>
      <c r="G177" s="44" t="n">
        <v>2016</v>
      </c>
      <c r="H177" s="44" t="s">
        <v>44</v>
      </c>
      <c r="I177" s="44" t="n">
        <v>79025</v>
      </c>
    </row>
    <row r="178" customFormat="false" ht="15" hidden="false" customHeight="false" outlineLevel="0" collapsed="false">
      <c r="A178" s="43" t="s">
        <v>312</v>
      </c>
      <c r="B178" s="43" t="s">
        <v>234</v>
      </c>
      <c r="C178" s="43" t="s">
        <v>19</v>
      </c>
      <c r="D178" s="43" t="s">
        <v>42</v>
      </c>
      <c r="E178" s="43" t="n">
        <v>42</v>
      </c>
      <c r="F178" s="43" t="s">
        <v>51</v>
      </c>
      <c r="G178" s="43" t="n">
        <v>2015</v>
      </c>
      <c r="H178" s="43" t="s">
        <v>44</v>
      </c>
      <c r="I178" s="43" t="n">
        <v>62923</v>
      </c>
    </row>
    <row r="179" customFormat="false" ht="15" hidden="false" customHeight="false" outlineLevel="0" collapsed="false">
      <c r="A179" s="44" t="s">
        <v>313</v>
      </c>
      <c r="B179" s="44" t="s">
        <v>241</v>
      </c>
      <c r="C179" s="44" t="s">
        <v>19</v>
      </c>
      <c r="D179" s="44" t="s">
        <v>42</v>
      </c>
      <c r="E179" s="44" t="n">
        <v>43</v>
      </c>
      <c r="F179" s="44" t="s">
        <v>61</v>
      </c>
      <c r="G179" s="44" t="n">
        <v>2020</v>
      </c>
      <c r="H179" s="44" t="s">
        <v>44</v>
      </c>
      <c r="I179" s="44" t="n">
        <v>127609</v>
      </c>
    </row>
    <row r="180" customFormat="false" ht="15" hidden="false" customHeight="false" outlineLevel="0" collapsed="false">
      <c r="A180" s="43" t="s">
        <v>314</v>
      </c>
      <c r="B180" s="43" t="s">
        <v>92</v>
      </c>
      <c r="C180" s="43" t="s">
        <v>19</v>
      </c>
      <c r="D180" s="43" t="s">
        <v>42</v>
      </c>
      <c r="E180" s="43" t="n">
        <v>52</v>
      </c>
      <c r="F180" s="43" t="s">
        <v>48</v>
      </c>
      <c r="G180" s="43" t="n">
        <v>2016</v>
      </c>
      <c r="H180" s="43" t="s">
        <v>44</v>
      </c>
      <c r="I180" s="43" t="n">
        <v>117060</v>
      </c>
    </row>
    <row r="181" customFormat="false" ht="15" hidden="false" customHeight="false" outlineLevel="0" collapsed="false">
      <c r="A181" s="44" t="s">
        <v>315</v>
      </c>
      <c r="B181" s="44" t="s">
        <v>316</v>
      </c>
      <c r="C181" s="44" t="s">
        <v>19</v>
      </c>
      <c r="D181" s="44" t="s">
        <v>47</v>
      </c>
      <c r="E181" s="44" t="n">
        <v>39</v>
      </c>
      <c r="F181" s="44" t="s">
        <v>43</v>
      </c>
      <c r="G181" s="44" t="n">
        <v>2023</v>
      </c>
      <c r="H181" s="44" t="s">
        <v>44</v>
      </c>
      <c r="I181" s="44" t="n">
        <v>146094</v>
      </c>
    </row>
    <row r="182" customFormat="false" ht="15" hidden="false" customHeight="false" outlineLevel="0" collapsed="false">
      <c r="A182" s="43" t="s">
        <v>317</v>
      </c>
      <c r="B182" s="43" t="s">
        <v>63</v>
      </c>
      <c r="C182" s="43" t="s">
        <v>19</v>
      </c>
      <c r="D182" s="43" t="s">
        <v>42</v>
      </c>
      <c r="E182" s="43" t="n">
        <v>33</v>
      </c>
      <c r="F182" s="43" t="s">
        <v>54</v>
      </c>
      <c r="G182" s="43" t="n">
        <v>2015</v>
      </c>
      <c r="H182" s="43" t="s">
        <v>44</v>
      </c>
      <c r="I182" s="43" t="n">
        <v>146992</v>
      </c>
    </row>
    <row r="183" customFormat="false" ht="15" hidden="false" customHeight="false" outlineLevel="0" collapsed="false">
      <c r="A183" s="45" t="s">
        <v>318</v>
      </c>
      <c r="B183" s="45" t="s">
        <v>131</v>
      </c>
      <c r="C183" s="45" t="s">
        <v>19</v>
      </c>
      <c r="D183" s="45" t="s">
        <v>42</v>
      </c>
      <c r="E183" s="45" t="n">
        <v>56</v>
      </c>
      <c r="F183" s="45" t="s">
        <v>48</v>
      </c>
      <c r="G183" s="45" t="n">
        <v>2019</v>
      </c>
      <c r="H183" s="45" t="s">
        <v>76</v>
      </c>
      <c r="I183" s="45" t="n">
        <v>82998</v>
      </c>
    </row>
    <row r="184" customFormat="false" ht="15" hidden="false" customHeight="false" outlineLevel="0" collapsed="false">
      <c r="A184" s="43" t="s">
        <v>319</v>
      </c>
      <c r="B184" s="43" t="s">
        <v>320</v>
      </c>
      <c r="C184" s="43" t="s">
        <v>19</v>
      </c>
      <c r="D184" s="43" t="s">
        <v>42</v>
      </c>
      <c r="E184" s="43" t="n">
        <v>40</v>
      </c>
      <c r="F184" s="43" t="s">
        <v>43</v>
      </c>
      <c r="G184" s="43" t="n">
        <v>2016</v>
      </c>
      <c r="H184" s="43" t="s">
        <v>44</v>
      </c>
      <c r="I184" s="43" t="n">
        <v>122446</v>
      </c>
    </row>
    <row r="185" customFormat="false" ht="15" hidden="false" customHeight="false" outlineLevel="0" collapsed="false">
      <c r="A185" s="44" t="s">
        <v>321</v>
      </c>
      <c r="B185" s="44" t="s">
        <v>165</v>
      </c>
      <c r="C185" s="44" t="s">
        <v>19</v>
      </c>
      <c r="D185" s="44" t="s">
        <v>42</v>
      </c>
      <c r="E185" s="44" t="n">
        <v>28</v>
      </c>
      <c r="F185" s="44" t="s">
        <v>43</v>
      </c>
      <c r="G185" s="44" t="n">
        <v>2021</v>
      </c>
      <c r="H185" s="44" t="s">
        <v>44</v>
      </c>
      <c r="I185" s="44" t="n">
        <v>104553</v>
      </c>
    </row>
    <row r="186" customFormat="false" ht="15" hidden="false" customHeight="false" outlineLevel="0" collapsed="false">
      <c r="A186" s="43" t="s">
        <v>322</v>
      </c>
      <c r="B186" s="43" t="s">
        <v>129</v>
      </c>
      <c r="C186" s="43" t="s">
        <v>19</v>
      </c>
      <c r="D186" s="43" t="s">
        <v>47</v>
      </c>
      <c r="E186" s="43" t="n">
        <v>58</v>
      </c>
      <c r="F186" s="43" t="s">
        <v>51</v>
      </c>
      <c r="G186" s="43" t="n">
        <v>2018</v>
      </c>
      <c r="H186" s="43" t="s">
        <v>44</v>
      </c>
      <c r="I186" s="43" t="n">
        <v>113988</v>
      </c>
    </row>
    <row r="187" customFormat="false" ht="15" hidden="false" customHeight="false" outlineLevel="0" collapsed="false">
      <c r="A187" s="44" t="s">
        <v>323</v>
      </c>
      <c r="B187" s="44" t="s">
        <v>73</v>
      </c>
      <c r="C187" s="44" t="s">
        <v>19</v>
      </c>
      <c r="D187" s="44" t="s">
        <v>42</v>
      </c>
      <c r="E187" s="44" t="n">
        <v>53</v>
      </c>
      <c r="F187" s="44" t="s">
        <v>48</v>
      </c>
      <c r="G187" s="44" t="n">
        <v>2020</v>
      </c>
      <c r="H187" s="44" t="s">
        <v>44</v>
      </c>
      <c r="I187" s="44" t="n">
        <v>62563</v>
      </c>
    </row>
    <row r="188" customFormat="false" ht="15" hidden="false" customHeight="false" outlineLevel="0" collapsed="false">
      <c r="A188" s="43" t="s">
        <v>324</v>
      </c>
      <c r="B188" s="43" t="s">
        <v>325</v>
      </c>
      <c r="C188" s="43" t="s">
        <v>19</v>
      </c>
      <c r="D188" s="43" t="s">
        <v>47</v>
      </c>
      <c r="E188" s="43" t="n">
        <v>54</v>
      </c>
      <c r="F188" s="43" t="s">
        <v>48</v>
      </c>
      <c r="G188" s="43" t="n">
        <v>2021</v>
      </c>
      <c r="H188" s="43" t="s">
        <v>44</v>
      </c>
      <c r="I188" s="43" t="n">
        <v>55353</v>
      </c>
    </row>
    <row r="189" customFormat="false" ht="15" hidden="false" customHeight="false" outlineLevel="0" collapsed="false">
      <c r="A189" s="44" t="s">
        <v>326</v>
      </c>
      <c r="B189" s="44" t="s">
        <v>67</v>
      </c>
      <c r="C189" s="44" t="s">
        <v>19</v>
      </c>
      <c r="D189" s="44" t="s">
        <v>42</v>
      </c>
      <c r="E189" s="44" t="n">
        <v>54</v>
      </c>
      <c r="F189" s="44" t="s">
        <v>54</v>
      </c>
      <c r="G189" s="44" t="n">
        <v>2019</v>
      </c>
      <c r="H189" s="44" t="s">
        <v>44</v>
      </c>
      <c r="I189" s="44" t="n">
        <v>142243</v>
      </c>
    </row>
    <row r="190" customFormat="false" ht="15" hidden="false" customHeight="false" outlineLevel="0" collapsed="false">
      <c r="A190" s="46" t="s">
        <v>327</v>
      </c>
      <c r="B190" s="46" t="s">
        <v>178</v>
      </c>
      <c r="C190" s="46" t="s">
        <v>19</v>
      </c>
      <c r="D190" s="46" t="s">
        <v>47</v>
      </c>
      <c r="E190" s="46" t="n">
        <v>54</v>
      </c>
      <c r="F190" s="46" t="s">
        <v>43</v>
      </c>
      <c r="G190" s="46" t="n">
        <v>2018</v>
      </c>
      <c r="H190" s="46" t="s">
        <v>76</v>
      </c>
      <c r="I190" s="46" t="n">
        <v>149790</v>
      </c>
    </row>
    <row r="191" customFormat="false" ht="15" hidden="false" customHeight="false" outlineLevel="0" collapsed="false">
      <c r="A191" s="44" t="s">
        <v>328</v>
      </c>
      <c r="B191" s="44" t="s">
        <v>90</v>
      </c>
      <c r="C191" s="44" t="s">
        <v>19</v>
      </c>
      <c r="D191" s="44" t="s">
        <v>42</v>
      </c>
      <c r="E191" s="44" t="n">
        <v>49</v>
      </c>
      <c r="F191" s="44" t="s">
        <v>43</v>
      </c>
      <c r="G191" s="44" t="n">
        <v>2021</v>
      </c>
      <c r="H191" s="44" t="s">
        <v>44</v>
      </c>
      <c r="I191" s="44" t="n">
        <v>78656</v>
      </c>
    </row>
    <row r="192" customFormat="false" ht="15" hidden="false" customHeight="false" outlineLevel="0" collapsed="false">
      <c r="A192" s="43" t="s">
        <v>329</v>
      </c>
      <c r="B192" s="43" t="s">
        <v>153</v>
      </c>
      <c r="C192" s="43" t="s">
        <v>19</v>
      </c>
      <c r="D192" s="43" t="s">
        <v>47</v>
      </c>
      <c r="E192" s="43" t="n">
        <v>53</v>
      </c>
      <c r="F192" s="43" t="s">
        <v>43</v>
      </c>
      <c r="G192" s="43" t="n">
        <v>2022</v>
      </c>
      <c r="H192" s="43" t="s">
        <v>44</v>
      </c>
      <c r="I192" s="43" t="n">
        <v>52244</v>
      </c>
    </row>
    <row r="193" customFormat="false" ht="15" hidden="false" customHeight="false" outlineLevel="0" collapsed="false">
      <c r="A193" s="44" t="s">
        <v>330</v>
      </c>
      <c r="B193" s="44" t="s">
        <v>288</v>
      </c>
      <c r="C193" s="44" t="s">
        <v>19</v>
      </c>
      <c r="D193" s="44" t="s">
        <v>42</v>
      </c>
      <c r="E193" s="44" t="n">
        <v>42</v>
      </c>
      <c r="F193" s="44" t="s">
        <v>61</v>
      </c>
      <c r="G193" s="44" t="n">
        <v>2017</v>
      </c>
      <c r="H193" s="44" t="s">
        <v>44</v>
      </c>
      <c r="I193" s="44" t="n">
        <v>65734</v>
      </c>
    </row>
    <row r="194" customFormat="false" ht="15" hidden="false" customHeight="false" outlineLevel="0" collapsed="false">
      <c r="A194" s="43" t="s">
        <v>331</v>
      </c>
      <c r="B194" s="43" t="s">
        <v>204</v>
      </c>
      <c r="C194" s="43" t="s">
        <v>19</v>
      </c>
      <c r="D194" s="43" t="s">
        <v>42</v>
      </c>
      <c r="E194" s="43" t="n">
        <v>47</v>
      </c>
      <c r="F194" s="43" t="s">
        <v>43</v>
      </c>
      <c r="G194" s="43" t="n">
        <v>2020</v>
      </c>
      <c r="H194" s="43" t="s">
        <v>44</v>
      </c>
      <c r="I194" s="43" t="n">
        <v>75422</v>
      </c>
    </row>
    <row r="195" customFormat="false" ht="15" hidden="false" customHeight="false" outlineLevel="0" collapsed="false">
      <c r="A195" s="44" t="s">
        <v>332</v>
      </c>
      <c r="B195" s="44" t="s">
        <v>150</v>
      </c>
      <c r="C195" s="44" t="s">
        <v>19</v>
      </c>
      <c r="D195" s="44" t="s">
        <v>47</v>
      </c>
      <c r="E195" s="44" t="n">
        <v>58</v>
      </c>
      <c r="F195" s="44" t="s">
        <v>51</v>
      </c>
      <c r="G195" s="44" t="n">
        <v>2016</v>
      </c>
      <c r="H195" s="44" t="s">
        <v>44</v>
      </c>
      <c r="I195" s="44" t="n">
        <v>120485</v>
      </c>
    </row>
    <row r="196" customFormat="false" ht="15" hidden="false" customHeight="false" outlineLevel="0" collapsed="false">
      <c r="A196" s="46" t="s">
        <v>333</v>
      </c>
      <c r="B196" s="46" t="s">
        <v>155</v>
      </c>
      <c r="C196" s="46" t="s">
        <v>19</v>
      </c>
      <c r="D196" s="46" t="s">
        <v>42</v>
      </c>
      <c r="E196" s="46" t="n">
        <v>56</v>
      </c>
      <c r="F196" s="46" t="s">
        <v>48</v>
      </c>
      <c r="G196" s="46" t="n">
        <v>2024</v>
      </c>
      <c r="H196" s="46" t="s">
        <v>81</v>
      </c>
      <c r="I196" s="46" t="n">
        <v>82546</v>
      </c>
    </row>
    <row r="197" customFormat="false" ht="15" hidden="false" customHeight="false" outlineLevel="0" collapsed="false">
      <c r="A197" s="44" t="s">
        <v>334</v>
      </c>
      <c r="B197" s="44" t="s">
        <v>53</v>
      </c>
      <c r="C197" s="44" t="s">
        <v>19</v>
      </c>
      <c r="D197" s="44" t="s">
        <v>42</v>
      </c>
      <c r="E197" s="44" t="n">
        <v>26</v>
      </c>
      <c r="F197" s="44" t="s">
        <v>43</v>
      </c>
      <c r="G197" s="44" t="n">
        <v>2019</v>
      </c>
      <c r="H197" s="44" t="s">
        <v>44</v>
      </c>
      <c r="I197" s="44" t="n">
        <v>73897</v>
      </c>
    </row>
    <row r="198" customFormat="false" ht="15" hidden="false" customHeight="false" outlineLevel="0" collapsed="false">
      <c r="A198" s="43" t="s">
        <v>335</v>
      </c>
      <c r="B198" s="43" t="s">
        <v>231</v>
      </c>
      <c r="C198" s="43" t="s">
        <v>19</v>
      </c>
      <c r="D198" s="43" t="s">
        <v>47</v>
      </c>
      <c r="E198" s="43" t="n">
        <v>44</v>
      </c>
      <c r="F198" s="43" t="s">
        <v>54</v>
      </c>
      <c r="G198" s="43" t="n">
        <v>2024</v>
      </c>
      <c r="H198" s="43" t="s">
        <v>44</v>
      </c>
      <c r="I198" s="43" t="n">
        <v>83701</v>
      </c>
    </row>
    <row r="199" customFormat="false" ht="15" hidden="false" customHeight="false" outlineLevel="0" collapsed="false">
      <c r="A199" s="44" t="s">
        <v>336</v>
      </c>
      <c r="B199" s="44" t="s">
        <v>56</v>
      </c>
      <c r="C199" s="44" t="s">
        <v>19</v>
      </c>
      <c r="D199" s="44" t="s">
        <v>47</v>
      </c>
      <c r="E199" s="44" t="n">
        <v>41</v>
      </c>
      <c r="F199" s="44" t="s">
        <v>54</v>
      </c>
      <c r="G199" s="44" t="n">
        <v>2017</v>
      </c>
      <c r="H199" s="44" t="s">
        <v>44</v>
      </c>
      <c r="I199" s="44" t="n">
        <v>59915</v>
      </c>
    </row>
    <row r="200" customFormat="false" ht="15" hidden="false" customHeight="false" outlineLevel="0" collapsed="false">
      <c r="A200" s="43" t="s">
        <v>337</v>
      </c>
      <c r="B200" s="43" t="s">
        <v>46</v>
      </c>
      <c r="C200" s="43" t="s">
        <v>19</v>
      </c>
      <c r="D200" s="43" t="s">
        <v>42</v>
      </c>
      <c r="E200" s="43" t="n">
        <v>49</v>
      </c>
      <c r="F200" s="43" t="s">
        <v>51</v>
      </c>
      <c r="G200" s="43" t="n">
        <v>2022</v>
      </c>
      <c r="H200" s="43" t="s">
        <v>44</v>
      </c>
      <c r="I200" s="43" t="n">
        <v>57854</v>
      </c>
    </row>
    <row r="201" customFormat="false" ht="15" hidden="false" customHeight="false" outlineLevel="0" collapsed="false">
      <c r="A201" s="44" t="s">
        <v>338</v>
      </c>
      <c r="B201" s="44" t="s">
        <v>159</v>
      </c>
      <c r="C201" s="44" t="s">
        <v>19</v>
      </c>
      <c r="D201" s="44" t="s">
        <v>42</v>
      </c>
      <c r="E201" s="44" t="n">
        <v>58</v>
      </c>
      <c r="F201" s="44" t="s">
        <v>43</v>
      </c>
      <c r="G201" s="44" t="n">
        <v>2015</v>
      </c>
      <c r="H201" s="44" t="s">
        <v>44</v>
      </c>
      <c r="I201" s="44" t="n">
        <v>105340</v>
      </c>
    </row>
    <row r="202" customFormat="false" ht="15" hidden="false" customHeight="false" outlineLevel="0" collapsed="false">
      <c r="A202" s="43" t="s">
        <v>339</v>
      </c>
      <c r="B202" s="43" t="s">
        <v>126</v>
      </c>
      <c r="C202" s="43" t="s">
        <v>21</v>
      </c>
      <c r="D202" s="43" t="s">
        <v>42</v>
      </c>
      <c r="E202" s="43" t="n">
        <v>55</v>
      </c>
      <c r="F202" s="43" t="s">
        <v>43</v>
      </c>
      <c r="G202" s="43" t="n">
        <v>2023</v>
      </c>
      <c r="H202" s="43" t="s">
        <v>44</v>
      </c>
      <c r="I202" s="43" t="n">
        <v>125357</v>
      </c>
    </row>
    <row r="203" customFormat="false" ht="15" hidden="false" customHeight="false" outlineLevel="0" collapsed="false">
      <c r="A203" s="44" t="s">
        <v>340</v>
      </c>
      <c r="B203" s="44" t="s">
        <v>192</v>
      </c>
      <c r="C203" s="44" t="s">
        <v>21</v>
      </c>
      <c r="D203" s="44" t="s">
        <v>47</v>
      </c>
      <c r="E203" s="44" t="n">
        <v>37</v>
      </c>
      <c r="F203" s="44" t="s">
        <v>51</v>
      </c>
      <c r="G203" s="44" t="n">
        <v>2017</v>
      </c>
      <c r="H203" s="44" t="s">
        <v>44</v>
      </c>
      <c r="I203" s="44" t="n">
        <v>144184</v>
      </c>
    </row>
    <row r="204" customFormat="false" ht="15" hidden="false" customHeight="false" outlineLevel="0" collapsed="false">
      <c r="A204" s="43" t="s">
        <v>341</v>
      </c>
      <c r="B204" s="43" t="s">
        <v>234</v>
      </c>
      <c r="C204" s="43" t="s">
        <v>21</v>
      </c>
      <c r="D204" s="43" t="s">
        <v>47</v>
      </c>
      <c r="E204" s="43" t="n">
        <v>31</v>
      </c>
      <c r="F204" s="43" t="s">
        <v>51</v>
      </c>
      <c r="G204" s="43" t="n">
        <v>2024</v>
      </c>
      <c r="H204" s="43" t="s">
        <v>44</v>
      </c>
      <c r="I204" s="43" t="n">
        <v>148602</v>
      </c>
    </row>
    <row r="205" customFormat="false" ht="15" hidden="false" customHeight="false" outlineLevel="0" collapsed="false">
      <c r="A205" s="44" t="s">
        <v>342</v>
      </c>
      <c r="B205" s="44" t="s">
        <v>299</v>
      </c>
      <c r="C205" s="44" t="s">
        <v>21</v>
      </c>
      <c r="D205" s="44" t="s">
        <v>42</v>
      </c>
      <c r="E205" s="44" t="n">
        <v>32</v>
      </c>
      <c r="F205" s="44" t="s">
        <v>51</v>
      </c>
      <c r="G205" s="44" t="n">
        <v>2019</v>
      </c>
      <c r="H205" s="44" t="s">
        <v>44</v>
      </c>
      <c r="I205" s="44" t="n">
        <v>87114</v>
      </c>
    </row>
    <row r="206" customFormat="false" ht="15" hidden="false" customHeight="false" outlineLevel="0" collapsed="false">
      <c r="A206" s="43" t="s">
        <v>343</v>
      </c>
      <c r="B206" s="43" t="s">
        <v>304</v>
      </c>
      <c r="C206" s="43" t="s">
        <v>21</v>
      </c>
      <c r="D206" s="43" t="s">
        <v>42</v>
      </c>
      <c r="E206" s="43" t="n">
        <v>58</v>
      </c>
      <c r="F206" s="43" t="s">
        <v>48</v>
      </c>
      <c r="G206" s="43" t="n">
        <v>2017</v>
      </c>
      <c r="H206" s="43" t="s">
        <v>44</v>
      </c>
      <c r="I206" s="43" t="n">
        <v>59457</v>
      </c>
    </row>
    <row r="207" customFormat="false" ht="15" hidden="false" customHeight="false" outlineLevel="0" collapsed="false">
      <c r="A207" s="44" t="s">
        <v>344</v>
      </c>
      <c r="B207" s="44" t="s">
        <v>345</v>
      </c>
      <c r="C207" s="44" t="s">
        <v>21</v>
      </c>
      <c r="D207" s="44" t="s">
        <v>47</v>
      </c>
      <c r="E207" s="44" t="n">
        <v>28</v>
      </c>
      <c r="F207" s="44" t="s">
        <v>51</v>
      </c>
      <c r="G207" s="44" t="n">
        <v>2024</v>
      </c>
      <c r="H207" s="44" t="s">
        <v>44</v>
      </c>
      <c r="I207" s="44" t="n">
        <v>113151</v>
      </c>
    </row>
    <row r="208" customFormat="false" ht="15" hidden="false" customHeight="false" outlineLevel="0" collapsed="false">
      <c r="A208" s="43" t="s">
        <v>346</v>
      </c>
      <c r="B208" s="43" t="s">
        <v>244</v>
      </c>
      <c r="C208" s="43" t="s">
        <v>21</v>
      </c>
      <c r="D208" s="43" t="s">
        <v>42</v>
      </c>
      <c r="E208" s="43" t="n">
        <v>36</v>
      </c>
      <c r="F208" s="43" t="s">
        <v>43</v>
      </c>
      <c r="G208" s="43" t="n">
        <v>2021</v>
      </c>
      <c r="H208" s="43" t="s">
        <v>44</v>
      </c>
      <c r="I208" s="43" t="n">
        <v>86419</v>
      </c>
    </row>
    <row r="209" customFormat="false" ht="15" hidden="false" customHeight="false" outlineLevel="0" collapsed="false">
      <c r="A209" s="44" t="s">
        <v>347</v>
      </c>
      <c r="B209" s="44" t="s">
        <v>73</v>
      </c>
      <c r="C209" s="44" t="s">
        <v>21</v>
      </c>
      <c r="D209" s="44" t="s">
        <v>42</v>
      </c>
      <c r="E209" s="44" t="n">
        <v>40</v>
      </c>
      <c r="F209" s="44" t="s">
        <v>61</v>
      </c>
      <c r="G209" s="44" t="n">
        <v>2019</v>
      </c>
      <c r="H209" s="44" t="s">
        <v>44</v>
      </c>
      <c r="I209" s="44" t="n">
        <v>117945</v>
      </c>
    </row>
    <row r="210" customFormat="false" ht="15" hidden="false" customHeight="false" outlineLevel="0" collapsed="false">
      <c r="A210" s="43" t="s">
        <v>348</v>
      </c>
      <c r="B210" s="43" t="s">
        <v>214</v>
      </c>
      <c r="C210" s="43" t="s">
        <v>21</v>
      </c>
      <c r="D210" s="43" t="s">
        <v>42</v>
      </c>
      <c r="E210" s="43" t="n">
        <v>50</v>
      </c>
      <c r="F210" s="43" t="s">
        <v>51</v>
      </c>
      <c r="G210" s="43" t="n">
        <v>2017</v>
      </c>
      <c r="H210" s="43" t="s">
        <v>44</v>
      </c>
      <c r="I210" s="43" t="n">
        <v>139157</v>
      </c>
    </row>
    <row r="211" customFormat="false" ht="15" hidden="false" customHeight="false" outlineLevel="0" collapsed="false">
      <c r="A211" s="44" t="s">
        <v>349</v>
      </c>
      <c r="B211" s="44" t="s">
        <v>155</v>
      </c>
      <c r="C211" s="44" t="s">
        <v>21</v>
      </c>
      <c r="D211" s="44" t="s">
        <v>47</v>
      </c>
      <c r="E211" s="44" t="n">
        <v>53</v>
      </c>
      <c r="F211" s="44" t="s">
        <v>51</v>
      </c>
      <c r="G211" s="44" t="n">
        <v>2020</v>
      </c>
      <c r="H211" s="44" t="s">
        <v>44</v>
      </c>
      <c r="I211" s="44" t="n">
        <v>129084</v>
      </c>
    </row>
    <row r="212" customFormat="false" ht="15" hidden="false" customHeight="false" outlineLevel="0" collapsed="false">
      <c r="A212" s="43" t="s">
        <v>350</v>
      </c>
      <c r="B212" s="43" t="s">
        <v>99</v>
      </c>
      <c r="C212" s="43" t="s">
        <v>21</v>
      </c>
      <c r="D212" s="43" t="s">
        <v>47</v>
      </c>
      <c r="E212" s="43" t="n">
        <v>57</v>
      </c>
      <c r="F212" s="43" t="s">
        <v>54</v>
      </c>
      <c r="G212" s="43" t="n">
        <v>2016</v>
      </c>
      <c r="H212" s="43" t="s">
        <v>44</v>
      </c>
      <c r="I212" s="43" t="n">
        <v>125200</v>
      </c>
    </row>
    <row r="213" customFormat="false" ht="15" hidden="false" customHeight="false" outlineLevel="0" collapsed="false">
      <c r="A213" s="44" t="s">
        <v>351</v>
      </c>
      <c r="B213" s="44" t="s">
        <v>219</v>
      </c>
      <c r="C213" s="44" t="s">
        <v>21</v>
      </c>
      <c r="D213" s="44" t="s">
        <v>47</v>
      </c>
      <c r="E213" s="44" t="n">
        <v>58</v>
      </c>
      <c r="F213" s="44" t="s">
        <v>54</v>
      </c>
      <c r="G213" s="44" t="n">
        <v>2022</v>
      </c>
      <c r="H213" s="44" t="s">
        <v>44</v>
      </c>
      <c r="I213" s="44" t="n">
        <v>62854</v>
      </c>
    </row>
    <row r="214" customFormat="false" ht="15" hidden="false" customHeight="false" outlineLevel="0" collapsed="false">
      <c r="A214" s="46" t="s">
        <v>352</v>
      </c>
      <c r="B214" s="46" t="s">
        <v>168</v>
      </c>
      <c r="C214" s="46" t="s">
        <v>21</v>
      </c>
      <c r="D214" s="46" t="s">
        <v>47</v>
      </c>
      <c r="E214" s="46" t="n">
        <v>41</v>
      </c>
      <c r="F214" s="46" t="s">
        <v>54</v>
      </c>
      <c r="G214" s="46" t="n">
        <v>2017</v>
      </c>
      <c r="H214" s="46" t="s">
        <v>76</v>
      </c>
      <c r="I214" s="46" t="n">
        <v>50384</v>
      </c>
    </row>
    <row r="215" customFormat="false" ht="15" hidden="false" customHeight="false" outlineLevel="0" collapsed="false">
      <c r="A215" s="44" t="s">
        <v>353</v>
      </c>
      <c r="B215" s="44" t="s">
        <v>354</v>
      </c>
      <c r="C215" s="44" t="s">
        <v>21</v>
      </c>
      <c r="D215" s="44" t="s">
        <v>47</v>
      </c>
      <c r="E215" s="44" t="n">
        <v>52</v>
      </c>
      <c r="F215" s="44" t="s">
        <v>54</v>
      </c>
      <c r="G215" s="44" t="n">
        <v>2024</v>
      </c>
      <c r="H215" s="44" t="s">
        <v>44</v>
      </c>
      <c r="I215" s="44" t="n">
        <v>65786</v>
      </c>
    </row>
    <row r="216" customFormat="false" ht="15" hidden="false" customHeight="false" outlineLevel="0" collapsed="false">
      <c r="A216" s="43" t="s">
        <v>355</v>
      </c>
      <c r="B216" s="43" t="s">
        <v>354</v>
      </c>
      <c r="C216" s="43" t="s">
        <v>21</v>
      </c>
      <c r="D216" s="43" t="s">
        <v>47</v>
      </c>
      <c r="E216" s="43" t="n">
        <v>34</v>
      </c>
      <c r="F216" s="43" t="s">
        <v>61</v>
      </c>
      <c r="G216" s="43" t="n">
        <v>2019</v>
      </c>
      <c r="H216" s="43" t="s">
        <v>44</v>
      </c>
      <c r="I216" s="43" t="n">
        <v>106049</v>
      </c>
    </row>
    <row r="217" customFormat="false" ht="15" hidden="false" customHeight="false" outlineLevel="0" collapsed="false">
      <c r="A217" s="44" t="s">
        <v>356</v>
      </c>
      <c r="B217" s="44" t="s">
        <v>92</v>
      </c>
      <c r="C217" s="44" t="s">
        <v>21</v>
      </c>
      <c r="D217" s="44" t="s">
        <v>47</v>
      </c>
      <c r="E217" s="44" t="n">
        <v>32</v>
      </c>
      <c r="F217" s="44" t="s">
        <v>43</v>
      </c>
      <c r="G217" s="44" t="n">
        <v>2017</v>
      </c>
      <c r="H217" s="44" t="s">
        <v>44</v>
      </c>
      <c r="I217" s="44" t="n">
        <v>107639</v>
      </c>
    </row>
    <row r="218" customFormat="false" ht="15" hidden="false" customHeight="false" outlineLevel="0" collapsed="false">
      <c r="A218" s="43" t="s">
        <v>357</v>
      </c>
      <c r="B218" s="43" t="s">
        <v>118</v>
      </c>
      <c r="C218" s="43" t="s">
        <v>21</v>
      </c>
      <c r="D218" s="43" t="s">
        <v>42</v>
      </c>
      <c r="E218" s="43" t="n">
        <v>32</v>
      </c>
      <c r="F218" s="43" t="s">
        <v>48</v>
      </c>
      <c r="G218" s="43" t="n">
        <v>2022</v>
      </c>
      <c r="H218" s="43" t="s">
        <v>44</v>
      </c>
      <c r="I218" s="43" t="n">
        <v>122840</v>
      </c>
    </row>
    <row r="219" customFormat="false" ht="15" hidden="false" customHeight="false" outlineLevel="0" collapsed="false">
      <c r="A219" s="44" t="s">
        <v>358</v>
      </c>
      <c r="B219" s="44" t="s">
        <v>105</v>
      </c>
      <c r="C219" s="44" t="s">
        <v>21</v>
      </c>
      <c r="D219" s="44" t="s">
        <v>42</v>
      </c>
      <c r="E219" s="44" t="n">
        <v>57</v>
      </c>
      <c r="F219" s="44" t="s">
        <v>51</v>
      </c>
      <c r="G219" s="44" t="n">
        <v>2018</v>
      </c>
      <c r="H219" s="44" t="s">
        <v>44</v>
      </c>
      <c r="I219" s="44" t="n">
        <v>130566</v>
      </c>
    </row>
    <row r="220" customFormat="false" ht="15" hidden="false" customHeight="false" outlineLevel="0" collapsed="false">
      <c r="A220" s="43" t="s">
        <v>359</v>
      </c>
      <c r="B220" s="43" t="s">
        <v>360</v>
      </c>
      <c r="C220" s="43" t="s">
        <v>21</v>
      </c>
      <c r="D220" s="43" t="s">
        <v>42</v>
      </c>
      <c r="E220" s="43" t="n">
        <v>28</v>
      </c>
      <c r="F220" s="43" t="s">
        <v>48</v>
      </c>
      <c r="G220" s="43" t="n">
        <v>2024</v>
      </c>
      <c r="H220" s="43" t="s">
        <v>44</v>
      </c>
      <c r="I220" s="43" t="n">
        <v>108783</v>
      </c>
    </row>
    <row r="221" customFormat="false" ht="15" hidden="false" customHeight="false" outlineLevel="0" collapsed="false">
      <c r="A221" s="45" t="s">
        <v>361</v>
      </c>
      <c r="B221" s="45" t="s">
        <v>133</v>
      </c>
      <c r="C221" s="45" t="s">
        <v>21</v>
      </c>
      <c r="D221" s="45" t="s">
        <v>47</v>
      </c>
      <c r="E221" s="45" t="n">
        <v>48</v>
      </c>
      <c r="F221" s="45" t="s">
        <v>51</v>
      </c>
      <c r="G221" s="45" t="n">
        <v>2019</v>
      </c>
      <c r="H221" s="45" t="s">
        <v>76</v>
      </c>
      <c r="I221" s="45" t="n">
        <v>134676</v>
      </c>
    </row>
    <row r="222" customFormat="false" ht="15" hidden="false" customHeight="false" outlineLevel="0" collapsed="false">
      <c r="A222" s="43" t="s">
        <v>362</v>
      </c>
      <c r="B222" s="43" t="s">
        <v>183</v>
      </c>
      <c r="C222" s="43" t="s">
        <v>21</v>
      </c>
      <c r="D222" s="43" t="s">
        <v>47</v>
      </c>
      <c r="E222" s="43" t="n">
        <v>56</v>
      </c>
      <c r="F222" s="43" t="s">
        <v>51</v>
      </c>
      <c r="G222" s="43" t="n">
        <v>2020</v>
      </c>
      <c r="H222" s="43" t="s">
        <v>44</v>
      </c>
      <c r="I222" s="43" t="n">
        <v>126404</v>
      </c>
    </row>
    <row r="223" customFormat="false" ht="15" hidden="false" customHeight="false" outlineLevel="0" collapsed="false">
      <c r="A223" s="44" t="s">
        <v>363</v>
      </c>
      <c r="B223" s="44" t="s">
        <v>126</v>
      </c>
      <c r="C223" s="44" t="s">
        <v>21</v>
      </c>
      <c r="D223" s="44" t="s">
        <v>47</v>
      </c>
      <c r="E223" s="44" t="n">
        <v>39</v>
      </c>
      <c r="F223" s="44" t="s">
        <v>51</v>
      </c>
      <c r="G223" s="44" t="n">
        <v>2017</v>
      </c>
      <c r="H223" s="44" t="s">
        <v>44</v>
      </c>
      <c r="I223" s="44" t="n">
        <v>100269</v>
      </c>
    </row>
    <row r="224" customFormat="false" ht="15" hidden="false" customHeight="false" outlineLevel="0" collapsed="false">
      <c r="A224" s="43" t="s">
        <v>364</v>
      </c>
      <c r="B224" s="43" t="s">
        <v>50</v>
      </c>
      <c r="C224" s="43" t="s">
        <v>21</v>
      </c>
      <c r="D224" s="43" t="s">
        <v>47</v>
      </c>
      <c r="E224" s="43" t="n">
        <v>27</v>
      </c>
      <c r="F224" s="43" t="s">
        <v>54</v>
      </c>
      <c r="G224" s="43" t="n">
        <v>2024</v>
      </c>
      <c r="H224" s="43" t="s">
        <v>44</v>
      </c>
      <c r="I224" s="43" t="n">
        <v>117704</v>
      </c>
    </row>
    <row r="225" customFormat="false" ht="15" hidden="false" customHeight="false" outlineLevel="0" collapsed="false">
      <c r="A225" s="44" t="s">
        <v>365</v>
      </c>
      <c r="B225" s="44" t="s">
        <v>345</v>
      </c>
      <c r="C225" s="44" t="s">
        <v>21</v>
      </c>
      <c r="D225" s="44" t="s">
        <v>47</v>
      </c>
      <c r="E225" s="44" t="n">
        <v>32</v>
      </c>
      <c r="F225" s="44" t="s">
        <v>51</v>
      </c>
      <c r="G225" s="44" t="n">
        <v>2017</v>
      </c>
      <c r="H225" s="44" t="s">
        <v>44</v>
      </c>
      <c r="I225" s="44" t="n">
        <v>146174</v>
      </c>
    </row>
    <row r="226" customFormat="false" ht="15" hidden="false" customHeight="false" outlineLevel="0" collapsed="false">
      <c r="A226" s="43" t="s">
        <v>366</v>
      </c>
      <c r="B226" s="43" t="s">
        <v>367</v>
      </c>
      <c r="C226" s="43" t="s">
        <v>21</v>
      </c>
      <c r="D226" s="43" t="s">
        <v>42</v>
      </c>
      <c r="E226" s="43" t="n">
        <v>43</v>
      </c>
      <c r="F226" s="43" t="s">
        <v>48</v>
      </c>
      <c r="G226" s="43" t="n">
        <v>2016</v>
      </c>
      <c r="H226" s="43" t="s">
        <v>44</v>
      </c>
      <c r="I226" s="43" t="n">
        <v>100209</v>
      </c>
    </row>
    <row r="227" customFormat="false" ht="15" hidden="false" customHeight="false" outlineLevel="0" collapsed="false">
      <c r="A227" s="44" t="s">
        <v>368</v>
      </c>
      <c r="B227" s="44" t="s">
        <v>118</v>
      </c>
      <c r="C227" s="44" t="s">
        <v>21</v>
      </c>
      <c r="D227" s="44" t="s">
        <v>47</v>
      </c>
      <c r="E227" s="44" t="n">
        <v>34</v>
      </c>
      <c r="F227" s="44" t="s">
        <v>54</v>
      </c>
      <c r="G227" s="44" t="n">
        <v>2015</v>
      </c>
      <c r="H227" s="44" t="s">
        <v>44</v>
      </c>
      <c r="I227" s="44" t="n">
        <v>138813</v>
      </c>
    </row>
    <row r="228" customFormat="false" ht="15" hidden="false" customHeight="false" outlineLevel="0" collapsed="false">
      <c r="A228" s="43" t="s">
        <v>369</v>
      </c>
      <c r="B228" s="43" t="s">
        <v>41</v>
      </c>
      <c r="C228" s="43" t="s">
        <v>21</v>
      </c>
      <c r="D228" s="43" t="s">
        <v>47</v>
      </c>
      <c r="E228" s="43" t="n">
        <v>49</v>
      </c>
      <c r="F228" s="43" t="s">
        <v>43</v>
      </c>
      <c r="G228" s="43" t="n">
        <v>2021</v>
      </c>
      <c r="H228" s="43" t="s">
        <v>44</v>
      </c>
      <c r="I228" s="43" t="n">
        <v>73424</v>
      </c>
    </row>
    <row r="229" customFormat="false" ht="15" hidden="false" customHeight="false" outlineLevel="0" collapsed="false">
      <c r="A229" s="44" t="s">
        <v>370</v>
      </c>
      <c r="B229" s="44" t="s">
        <v>241</v>
      </c>
      <c r="C229" s="44" t="s">
        <v>21</v>
      </c>
      <c r="D229" s="44" t="s">
        <v>47</v>
      </c>
      <c r="E229" s="44" t="n">
        <v>49</v>
      </c>
      <c r="F229" s="44" t="s">
        <v>61</v>
      </c>
      <c r="G229" s="44" t="n">
        <v>2021</v>
      </c>
      <c r="H229" s="44" t="s">
        <v>44</v>
      </c>
      <c r="I229" s="44" t="n">
        <v>125922</v>
      </c>
    </row>
    <row r="230" customFormat="false" ht="15" hidden="false" customHeight="false" outlineLevel="0" collapsed="false">
      <c r="A230" s="43" t="s">
        <v>371</v>
      </c>
      <c r="B230" s="43" t="s">
        <v>103</v>
      </c>
      <c r="C230" s="43" t="s">
        <v>21</v>
      </c>
      <c r="D230" s="43" t="s">
        <v>42</v>
      </c>
      <c r="E230" s="43" t="n">
        <v>43</v>
      </c>
      <c r="F230" s="43" t="s">
        <v>48</v>
      </c>
      <c r="G230" s="43" t="n">
        <v>2017</v>
      </c>
      <c r="H230" s="43" t="s">
        <v>44</v>
      </c>
      <c r="I230" s="43" t="n">
        <v>59801</v>
      </c>
    </row>
    <row r="231" customFormat="false" ht="15" hidden="false" customHeight="false" outlineLevel="0" collapsed="false">
      <c r="A231" s="44" t="s">
        <v>372</v>
      </c>
      <c r="B231" s="44" t="s">
        <v>143</v>
      </c>
      <c r="C231" s="44" t="s">
        <v>21</v>
      </c>
      <c r="D231" s="44" t="s">
        <v>47</v>
      </c>
      <c r="E231" s="44" t="n">
        <v>41</v>
      </c>
      <c r="F231" s="44" t="s">
        <v>61</v>
      </c>
      <c r="G231" s="44" t="n">
        <v>2024</v>
      </c>
      <c r="H231" s="44" t="s">
        <v>44</v>
      </c>
      <c r="I231" s="44" t="n">
        <v>45669</v>
      </c>
    </row>
    <row r="232" customFormat="false" ht="15" hidden="false" customHeight="false" outlineLevel="0" collapsed="false">
      <c r="A232" s="43" t="s">
        <v>373</v>
      </c>
      <c r="B232" s="43" t="s">
        <v>118</v>
      </c>
      <c r="C232" s="43" t="s">
        <v>23</v>
      </c>
      <c r="D232" s="43" t="s">
        <v>42</v>
      </c>
      <c r="E232" s="43" t="n">
        <v>29</v>
      </c>
      <c r="F232" s="43" t="s">
        <v>61</v>
      </c>
      <c r="G232" s="43" t="n">
        <v>2018</v>
      </c>
      <c r="H232" s="43" t="s">
        <v>44</v>
      </c>
      <c r="I232" s="43" t="n">
        <v>78828</v>
      </c>
    </row>
    <row r="233" customFormat="false" ht="15" hidden="false" customHeight="false" outlineLevel="0" collapsed="false">
      <c r="A233" s="45" t="s">
        <v>374</v>
      </c>
      <c r="B233" s="45" t="s">
        <v>85</v>
      </c>
      <c r="C233" s="45" t="s">
        <v>23</v>
      </c>
      <c r="D233" s="45" t="s">
        <v>47</v>
      </c>
      <c r="E233" s="45" t="n">
        <v>41</v>
      </c>
      <c r="F233" s="45" t="s">
        <v>54</v>
      </c>
      <c r="G233" s="45" t="n">
        <v>2019</v>
      </c>
      <c r="H233" s="45" t="s">
        <v>76</v>
      </c>
      <c r="I233" s="45" t="n">
        <v>67254</v>
      </c>
    </row>
    <row r="234" customFormat="false" ht="15" hidden="false" customHeight="false" outlineLevel="0" collapsed="false">
      <c r="A234" s="43" t="s">
        <v>375</v>
      </c>
      <c r="B234" s="43" t="s">
        <v>207</v>
      </c>
      <c r="C234" s="43" t="s">
        <v>23</v>
      </c>
      <c r="D234" s="43" t="s">
        <v>47</v>
      </c>
      <c r="E234" s="43" t="n">
        <v>43</v>
      </c>
      <c r="F234" s="43" t="s">
        <v>54</v>
      </c>
      <c r="G234" s="43" t="n">
        <v>2021</v>
      </c>
      <c r="H234" s="43" t="s">
        <v>44</v>
      </c>
      <c r="I234" s="43" t="n">
        <v>102201</v>
      </c>
    </row>
    <row r="235" customFormat="false" ht="15" hidden="false" customHeight="false" outlineLevel="0" collapsed="false">
      <c r="A235" s="44" t="s">
        <v>376</v>
      </c>
      <c r="B235" s="44" t="s">
        <v>207</v>
      </c>
      <c r="C235" s="44" t="s">
        <v>23</v>
      </c>
      <c r="D235" s="44" t="s">
        <v>42</v>
      </c>
      <c r="E235" s="44" t="n">
        <v>58</v>
      </c>
      <c r="F235" s="44" t="s">
        <v>54</v>
      </c>
      <c r="G235" s="44" t="n">
        <v>2023</v>
      </c>
      <c r="H235" s="44" t="s">
        <v>44</v>
      </c>
      <c r="I235" s="44" t="n">
        <v>92012</v>
      </c>
    </row>
    <row r="236" customFormat="false" ht="15" hidden="false" customHeight="false" outlineLevel="0" collapsed="false">
      <c r="A236" s="43" t="s">
        <v>377</v>
      </c>
      <c r="B236" s="43" t="s">
        <v>219</v>
      </c>
      <c r="C236" s="43" t="s">
        <v>23</v>
      </c>
      <c r="D236" s="43" t="s">
        <v>42</v>
      </c>
      <c r="E236" s="43" t="n">
        <v>52</v>
      </c>
      <c r="F236" s="43" t="s">
        <v>43</v>
      </c>
      <c r="G236" s="43" t="n">
        <v>2023</v>
      </c>
      <c r="H236" s="43" t="s">
        <v>44</v>
      </c>
      <c r="I236" s="43" t="n">
        <v>59657</v>
      </c>
    </row>
    <row r="237" customFormat="false" ht="15" hidden="false" customHeight="false" outlineLevel="0" collapsed="false">
      <c r="A237" s="44" t="s">
        <v>378</v>
      </c>
      <c r="B237" s="44" t="s">
        <v>196</v>
      </c>
      <c r="C237" s="44" t="s">
        <v>23</v>
      </c>
      <c r="D237" s="44" t="s">
        <v>42</v>
      </c>
      <c r="E237" s="44" t="n">
        <v>42</v>
      </c>
      <c r="F237" s="44" t="s">
        <v>43</v>
      </c>
      <c r="G237" s="44" t="n">
        <v>2022</v>
      </c>
      <c r="H237" s="44" t="s">
        <v>44</v>
      </c>
      <c r="I237" s="44" t="n">
        <v>50743</v>
      </c>
    </row>
    <row r="238" customFormat="false" ht="15" hidden="false" customHeight="false" outlineLevel="0" collapsed="false">
      <c r="A238" s="43" t="s">
        <v>379</v>
      </c>
      <c r="B238" s="43" t="s">
        <v>103</v>
      </c>
      <c r="C238" s="43" t="s">
        <v>23</v>
      </c>
      <c r="D238" s="43" t="s">
        <v>42</v>
      </c>
      <c r="E238" s="43" t="n">
        <v>32</v>
      </c>
      <c r="F238" s="43" t="s">
        <v>51</v>
      </c>
      <c r="G238" s="43" t="n">
        <v>2023</v>
      </c>
      <c r="H238" s="43" t="s">
        <v>44</v>
      </c>
      <c r="I238" s="43" t="n">
        <v>134540</v>
      </c>
    </row>
    <row r="239" customFormat="false" ht="15" hidden="false" customHeight="false" outlineLevel="0" collapsed="false">
      <c r="A239" s="44" t="s">
        <v>380</v>
      </c>
      <c r="B239" s="44" t="s">
        <v>53</v>
      </c>
      <c r="C239" s="44" t="s">
        <v>23</v>
      </c>
      <c r="D239" s="44" t="s">
        <v>42</v>
      </c>
      <c r="E239" s="44" t="n">
        <v>42</v>
      </c>
      <c r="F239" s="44" t="s">
        <v>54</v>
      </c>
      <c r="G239" s="44" t="n">
        <v>2017</v>
      </c>
      <c r="H239" s="44" t="s">
        <v>44</v>
      </c>
      <c r="I239" s="44" t="n">
        <v>92046</v>
      </c>
    </row>
    <row r="240" customFormat="false" ht="15" hidden="false" customHeight="false" outlineLevel="0" collapsed="false">
      <c r="A240" s="43" t="s">
        <v>381</v>
      </c>
      <c r="B240" s="43" t="s">
        <v>293</v>
      </c>
      <c r="C240" s="43" t="s">
        <v>23</v>
      </c>
      <c r="D240" s="43" t="s">
        <v>47</v>
      </c>
      <c r="E240" s="43" t="n">
        <v>41</v>
      </c>
      <c r="F240" s="43" t="s">
        <v>43</v>
      </c>
      <c r="G240" s="43" t="n">
        <v>2019</v>
      </c>
      <c r="H240" s="43" t="s">
        <v>44</v>
      </c>
      <c r="I240" s="43" t="n">
        <v>47122</v>
      </c>
    </row>
    <row r="241" customFormat="false" ht="15" hidden="false" customHeight="false" outlineLevel="0" collapsed="false">
      <c r="A241" s="44" t="s">
        <v>382</v>
      </c>
      <c r="B241" s="44" t="s">
        <v>201</v>
      </c>
      <c r="C241" s="44" t="s">
        <v>23</v>
      </c>
      <c r="D241" s="44" t="s">
        <v>42</v>
      </c>
      <c r="E241" s="44" t="n">
        <v>36</v>
      </c>
      <c r="F241" s="44" t="s">
        <v>51</v>
      </c>
      <c r="G241" s="44" t="n">
        <v>2024</v>
      </c>
      <c r="H241" s="44" t="s">
        <v>44</v>
      </c>
      <c r="I241" s="44" t="n">
        <v>53168</v>
      </c>
    </row>
    <row r="242" customFormat="false" ht="15" hidden="false" customHeight="false" outlineLevel="0" collapsed="false">
      <c r="A242" s="46" t="s">
        <v>383</v>
      </c>
      <c r="B242" s="46" t="s">
        <v>196</v>
      </c>
      <c r="C242" s="46" t="s">
        <v>23</v>
      </c>
      <c r="D242" s="46" t="s">
        <v>42</v>
      </c>
      <c r="E242" s="46" t="n">
        <v>33</v>
      </c>
      <c r="F242" s="46" t="s">
        <v>51</v>
      </c>
      <c r="G242" s="46" t="n">
        <v>2023</v>
      </c>
      <c r="H242" s="46" t="s">
        <v>76</v>
      </c>
      <c r="I242" s="46" t="n">
        <v>95428</v>
      </c>
    </row>
    <row r="243" customFormat="false" ht="15" hidden="false" customHeight="false" outlineLevel="0" collapsed="false">
      <c r="A243" s="44" t="s">
        <v>384</v>
      </c>
      <c r="B243" s="44" t="s">
        <v>161</v>
      </c>
      <c r="C243" s="44" t="s">
        <v>23</v>
      </c>
      <c r="D243" s="44" t="s">
        <v>47</v>
      </c>
      <c r="E243" s="44" t="n">
        <v>26</v>
      </c>
      <c r="F243" s="44" t="s">
        <v>51</v>
      </c>
      <c r="G243" s="44" t="n">
        <v>2024</v>
      </c>
      <c r="H243" s="44" t="s">
        <v>44</v>
      </c>
      <c r="I243" s="44" t="n">
        <v>113932</v>
      </c>
    </row>
    <row r="244" customFormat="false" ht="15" hidden="false" customHeight="false" outlineLevel="0" collapsed="false">
      <c r="A244" s="43" t="s">
        <v>385</v>
      </c>
      <c r="B244" s="43" t="s">
        <v>183</v>
      </c>
      <c r="C244" s="43" t="s">
        <v>23</v>
      </c>
      <c r="D244" s="43" t="s">
        <v>42</v>
      </c>
      <c r="E244" s="43" t="n">
        <v>43</v>
      </c>
      <c r="F244" s="43" t="s">
        <v>61</v>
      </c>
      <c r="G244" s="43" t="n">
        <v>2017</v>
      </c>
      <c r="H244" s="43" t="s">
        <v>44</v>
      </c>
      <c r="I244" s="43" t="n">
        <v>80401</v>
      </c>
    </row>
    <row r="245" customFormat="false" ht="15" hidden="false" customHeight="false" outlineLevel="0" collapsed="false">
      <c r="A245" s="44" t="s">
        <v>386</v>
      </c>
      <c r="B245" s="44" t="s">
        <v>354</v>
      </c>
      <c r="C245" s="44" t="s">
        <v>23</v>
      </c>
      <c r="D245" s="44" t="s">
        <v>47</v>
      </c>
      <c r="E245" s="44" t="n">
        <v>55</v>
      </c>
      <c r="F245" s="44" t="s">
        <v>51</v>
      </c>
      <c r="G245" s="44" t="n">
        <v>2018</v>
      </c>
      <c r="H245" s="44" t="s">
        <v>44</v>
      </c>
      <c r="I245" s="44" t="n">
        <v>116966</v>
      </c>
    </row>
    <row r="246" customFormat="false" ht="15" hidden="false" customHeight="false" outlineLevel="0" collapsed="false">
      <c r="A246" s="43" t="s">
        <v>387</v>
      </c>
      <c r="B246" s="43" t="s">
        <v>388</v>
      </c>
      <c r="C246" s="43" t="s">
        <v>23</v>
      </c>
      <c r="D246" s="43" t="s">
        <v>42</v>
      </c>
      <c r="E246" s="43" t="n">
        <v>31</v>
      </c>
      <c r="F246" s="43" t="s">
        <v>54</v>
      </c>
      <c r="G246" s="43" t="n">
        <v>2016</v>
      </c>
      <c r="H246" s="43" t="s">
        <v>44</v>
      </c>
      <c r="I246" s="43" t="n">
        <v>104060</v>
      </c>
    </row>
    <row r="247" customFormat="false" ht="15" hidden="false" customHeight="false" outlineLevel="0" collapsed="false">
      <c r="A247" s="45" t="s">
        <v>389</v>
      </c>
      <c r="B247" s="45" t="s">
        <v>46</v>
      </c>
      <c r="C247" s="45" t="s">
        <v>23</v>
      </c>
      <c r="D247" s="45" t="s">
        <v>47</v>
      </c>
      <c r="E247" s="45" t="n">
        <v>28</v>
      </c>
      <c r="F247" s="45" t="s">
        <v>54</v>
      </c>
      <c r="G247" s="45" t="n">
        <v>2024</v>
      </c>
      <c r="H247" s="45" t="s">
        <v>81</v>
      </c>
      <c r="I247" s="45" t="n">
        <v>44312</v>
      </c>
    </row>
    <row r="248" customFormat="false" ht="15" hidden="false" customHeight="false" outlineLevel="0" collapsed="false">
      <c r="A248" s="43" t="s">
        <v>390</v>
      </c>
      <c r="B248" s="43" t="s">
        <v>391</v>
      </c>
      <c r="C248" s="43" t="s">
        <v>23</v>
      </c>
      <c r="D248" s="43" t="s">
        <v>42</v>
      </c>
      <c r="E248" s="43" t="n">
        <v>37</v>
      </c>
      <c r="F248" s="43" t="s">
        <v>48</v>
      </c>
      <c r="G248" s="43" t="n">
        <v>2016</v>
      </c>
      <c r="H248" s="43" t="s">
        <v>44</v>
      </c>
      <c r="I248" s="43" t="n">
        <v>139022</v>
      </c>
    </row>
    <row r="249" customFormat="false" ht="15" hidden="false" customHeight="false" outlineLevel="0" collapsed="false">
      <c r="A249" s="44" t="s">
        <v>392</v>
      </c>
      <c r="B249" s="44" t="s">
        <v>367</v>
      </c>
      <c r="C249" s="44" t="s">
        <v>23</v>
      </c>
      <c r="D249" s="44" t="s">
        <v>47</v>
      </c>
      <c r="E249" s="44" t="n">
        <v>45</v>
      </c>
      <c r="F249" s="44" t="s">
        <v>61</v>
      </c>
      <c r="G249" s="44" t="n">
        <v>2024</v>
      </c>
      <c r="H249" s="44" t="s">
        <v>44</v>
      </c>
      <c r="I249" s="44" t="n">
        <v>132409</v>
      </c>
    </row>
    <row r="250" customFormat="false" ht="15" hidden="false" customHeight="false" outlineLevel="0" collapsed="false">
      <c r="A250" s="43" t="s">
        <v>393</v>
      </c>
      <c r="B250" s="43" t="s">
        <v>122</v>
      </c>
      <c r="C250" s="43" t="s">
        <v>23</v>
      </c>
      <c r="D250" s="43" t="s">
        <v>47</v>
      </c>
      <c r="E250" s="43" t="n">
        <v>30</v>
      </c>
      <c r="F250" s="43" t="s">
        <v>43</v>
      </c>
      <c r="G250" s="43" t="n">
        <v>2022</v>
      </c>
      <c r="H250" s="43" t="s">
        <v>44</v>
      </c>
      <c r="I250" s="43" t="n">
        <v>96284</v>
      </c>
    </row>
    <row r="251" customFormat="false" ht="15" hidden="false" customHeight="false" outlineLevel="0" collapsed="false">
      <c r="A251" s="44" t="s">
        <v>394</v>
      </c>
      <c r="B251" s="44" t="s">
        <v>90</v>
      </c>
      <c r="C251" s="44" t="s">
        <v>23</v>
      </c>
      <c r="D251" s="44" t="s">
        <v>42</v>
      </c>
      <c r="E251" s="44" t="n">
        <v>37</v>
      </c>
      <c r="F251" s="44" t="s">
        <v>51</v>
      </c>
      <c r="G251" s="44" t="n">
        <v>2015</v>
      </c>
      <c r="H251" s="44" t="s">
        <v>44</v>
      </c>
      <c r="I251" s="44" t="n">
        <v>101992</v>
      </c>
    </row>
    <row r="252" customFormat="false" ht="15" hidden="false" customHeight="false" outlineLevel="0" collapsed="false">
      <c r="A252" s="43" t="s">
        <v>395</v>
      </c>
      <c r="B252" s="43" t="s">
        <v>165</v>
      </c>
      <c r="C252" s="43" t="s">
        <v>23</v>
      </c>
      <c r="D252" s="43" t="s">
        <v>47</v>
      </c>
      <c r="E252" s="43" t="n">
        <v>27</v>
      </c>
      <c r="F252" s="43" t="s">
        <v>43</v>
      </c>
      <c r="G252" s="43" t="n">
        <v>2024</v>
      </c>
      <c r="H252" s="43" t="s">
        <v>44</v>
      </c>
      <c r="I252" s="43" t="n">
        <v>113656</v>
      </c>
    </row>
    <row r="253" customFormat="false" ht="15" hidden="false" customHeight="false" outlineLevel="0" collapsed="false">
      <c r="A253" s="45" t="s">
        <v>396</v>
      </c>
      <c r="B253" s="45" t="s">
        <v>325</v>
      </c>
      <c r="C253" s="45" t="s">
        <v>23</v>
      </c>
      <c r="D253" s="45" t="s">
        <v>42</v>
      </c>
      <c r="E253" s="45" t="n">
        <v>36</v>
      </c>
      <c r="F253" s="45" t="s">
        <v>51</v>
      </c>
      <c r="G253" s="45" t="n">
        <v>2021</v>
      </c>
      <c r="H253" s="45" t="s">
        <v>76</v>
      </c>
      <c r="I253" s="45" t="n">
        <v>123288</v>
      </c>
    </row>
    <row r="254" customFormat="false" ht="15" hidden="false" customHeight="false" outlineLevel="0" collapsed="false">
      <c r="A254" s="43" t="s">
        <v>397</v>
      </c>
      <c r="B254" s="43" t="s">
        <v>103</v>
      </c>
      <c r="C254" s="43" t="s">
        <v>23</v>
      </c>
      <c r="D254" s="43" t="s">
        <v>42</v>
      </c>
      <c r="E254" s="43" t="n">
        <v>32</v>
      </c>
      <c r="F254" s="43" t="s">
        <v>54</v>
      </c>
      <c r="G254" s="43" t="n">
        <v>2019</v>
      </c>
      <c r="H254" s="43" t="s">
        <v>44</v>
      </c>
      <c r="I254" s="43" t="n">
        <v>73141</v>
      </c>
    </row>
    <row r="255" customFormat="false" ht="15" hidden="false" customHeight="false" outlineLevel="0" collapsed="false">
      <c r="A255" s="44" t="s">
        <v>398</v>
      </c>
      <c r="B255" s="44" t="s">
        <v>107</v>
      </c>
      <c r="C255" s="44" t="s">
        <v>23</v>
      </c>
      <c r="D255" s="44" t="s">
        <v>42</v>
      </c>
      <c r="E255" s="44" t="n">
        <v>25</v>
      </c>
      <c r="F255" s="44" t="s">
        <v>51</v>
      </c>
      <c r="G255" s="44" t="n">
        <v>2016</v>
      </c>
      <c r="H255" s="44" t="s">
        <v>44</v>
      </c>
      <c r="I255" s="44" t="n">
        <v>106269</v>
      </c>
    </row>
    <row r="256" customFormat="false" ht="15" hidden="false" customHeight="false" outlineLevel="0" collapsed="false">
      <c r="A256" s="43" t="s">
        <v>399</v>
      </c>
      <c r="B256" s="43" t="s">
        <v>105</v>
      </c>
      <c r="C256" s="43" t="s">
        <v>23</v>
      </c>
      <c r="D256" s="43" t="s">
        <v>42</v>
      </c>
      <c r="E256" s="43" t="n">
        <v>27</v>
      </c>
      <c r="F256" s="43" t="s">
        <v>43</v>
      </c>
      <c r="G256" s="43" t="n">
        <v>2022</v>
      </c>
      <c r="H256" s="43" t="s">
        <v>44</v>
      </c>
      <c r="I256" s="43" t="n">
        <v>117327</v>
      </c>
    </row>
    <row r="257" customFormat="false" ht="15" hidden="false" customHeight="false" outlineLevel="0" collapsed="false">
      <c r="A257" s="44" t="s">
        <v>400</v>
      </c>
      <c r="B257" s="44" t="s">
        <v>168</v>
      </c>
      <c r="C257" s="44" t="s">
        <v>23</v>
      </c>
      <c r="D257" s="44" t="s">
        <v>42</v>
      </c>
      <c r="E257" s="44" t="n">
        <v>46</v>
      </c>
      <c r="F257" s="44" t="s">
        <v>51</v>
      </c>
      <c r="G257" s="44" t="n">
        <v>2018</v>
      </c>
      <c r="H257" s="44" t="s">
        <v>44</v>
      </c>
      <c r="I257" s="44" t="n">
        <v>86025</v>
      </c>
    </row>
    <row r="258" customFormat="false" ht="15" hidden="false" customHeight="false" outlineLevel="0" collapsed="false">
      <c r="A258" s="43" t="s">
        <v>401</v>
      </c>
      <c r="B258" s="43" t="s">
        <v>402</v>
      </c>
      <c r="C258" s="43" t="s">
        <v>23</v>
      </c>
      <c r="D258" s="43" t="s">
        <v>42</v>
      </c>
      <c r="E258" s="43" t="n">
        <v>24</v>
      </c>
      <c r="F258" s="43" t="s">
        <v>48</v>
      </c>
      <c r="G258" s="43" t="n">
        <v>2023</v>
      </c>
      <c r="H258" s="43" t="s">
        <v>44</v>
      </c>
      <c r="I258" s="43" t="n">
        <v>56604</v>
      </c>
    </row>
    <row r="259" customFormat="false" ht="15" hidden="false" customHeight="false" outlineLevel="0" collapsed="false">
      <c r="A259" s="45" t="s">
        <v>403</v>
      </c>
      <c r="B259" s="45" t="s">
        <v>196</v>
      </c>
      <c r="C259" s="45" t="s">
        <v>23</v>
      </c>
      <c r="D259" s="45" t="s">
        <v>42</v>
      </c>
      <c r="E259" s="45" t="n">
        <v>35</v>
      </c>
      <c r="F259" s="45" t="s">
        <v>61</v>
      </c>
      <c r="G259" s="45" t="n">
        <v>2023</v>
      </c>
      <c r="H259" s="45" t="s">
        <v>76</v>
      </c>
      <c r="I259" s="45" t="n">
        <v>139931</v>
      </c>
    </row>
    <row r="260" customFormat="false" ht="15" hidden="false" customHeight="false" outlineLevel="0" collapsed="false">
      <c r="A260" s="43" t="s">
        <v>404</v>
      </c>
      <c r="B260" s="43" t="s">
        <v>301</v>
      </c>
      <c r="C260" s="43" t="s">
        <v>23</v>
      </c>
      <c r="D260" s="43" t="s">
        <v>42</v>
      </c>
      <c r="E260" s="43" t="n">
        <v>55</v>
      </c>
      <c r="F260" s="43" t="s">
        <v>51</v>
      </c>
      <c r="G260" s="43" t="n">
        <v>2021</v>
      </c>
      <c r="H260" s="43" t="s">
        <v>44</v>
      </c>
      <c r="I260" s="43" t="n">
        <v>108070</v>
      </c>
    </row>
    <row r="261" customFormat="false" ht="15" hidden="false" customHeight="false" outlineLevel="0" collapsed="false">
      <c r="A261" s="45" t="s">
        <v>405</v>
      </c>
      <c r="B261" s="45" t="s">
        <v>150</v>
      </c>
      <c r="C261" s="45" t="s">
        <v>23</v>
      </c>
      <c r="D261" s="45" t="s">
        <v>47</v>
      </c>
      <c r="E261" s="45" t="n">
        <v>54</v>
      </c>
      <c r="F261" s="45" t="s">
        <v>43</v>
      </c>
      <c r="G261" s="45" t="n">
        <v>2020</v>
      </c>
      <c r="H261" s="45" t="s">
        <v>76</v>
      </c>
      <c r="I261" s="45" t="n">
        <v>107047</v>
      </c>
    </row>
    <row r="262" customFormat="false" ht="15" hidden="false" customHeight="false" outlineLevel="0" collapsed="false">
      <c r="A262" s="43" t="s">
        <v>406</v>
      </c>
      <c r="B262" s="43" t="s">
        <v>133</v>
      </c>
      <c r="C262" s="43" t="s">
        <v>23</v>
      </c>
      <c r="D262" s="43" t="s">
        <v>47</v>
      </c>
      <c r="E262" s="43" t="n">
        <v>57</v>
      </c>
      <c r="F262" s="43" t="s">
        <v>51</v>
      </c>
      <c r="G262" s="43" t="n">
        <v>2021</v>
      </c>
      <c r="H262" s="43" t="s">
        <v>44</v>
      </c>
      <c r="I262" s="43" t="n">
        <v>95964</v>
      </c>
    </row>
    <row r="263" customFormat="false" ht="15" hidden="false" customHeight="false" outlineLevel="0" collapsed="false">
      <c r="A263" s="44" t="s">
        <v>407</v>
      </c>
      <c r="B263" s="44" t="s">
        <v>304</v>
      </c>
      <c r="C263" s="44" t="s">
        <v>23</v>
      </c>
      <c r="D263" s="44" t="s">
        <v>47</v>
      </c>
      <c r="E263" s="44" t="n">
        <v>44</v>
      </c>
      <c r="F263" s="44" t="s">
        <v>48</v>
      </c>
      <c r="G263" s="44" t="n">
        <v>2024</v>
      </c>
      <c r="H263" s="44" t="s">
        <v>44</v>
      </c>
      <c r="I263" s="44" t="n">
        <v>40324</v>
      </c>
    </row>
    <row r="264" customFormat="false" ht="15" hidden="false" customHeight="false" outlineLevel="0" collapsed="false">
      <c r="A264" s="43" t="s">
        <v>408</v>
      </c>
      <c r="B264" s="43" t="s">
        <v>241</v>
      </c>
      <c r="C264" s="43" t="s">
        <v>23</v>
      </c>
      <c r="D264" s="43" t="s">
        <v>47</v>
      </c>
      <c r="E264" s="43" t="n">
        <v>57</v>
      </c>
      <c r="F264" s="43" t="s">
        <v>48</v>
      </c>
      <c r="G264" s="43" t="n">
        <v>2019</v>
      </c>
      <c r="H264" s="43" t="s">
        <v>44</v>
      </c>
      <c r="I264" s="43" t="n">
        <v>107596</v>
      </c>
    </row>
    <row r="265" customFormat="false" ht="15" hidden="false" customHeight="false" outlineLevel="0" collapsed="false">
      <c r="A265" s="44" t="s">
        <v>409</v>
      </c>
      <c r="B265" s="44" t="s">
        <v>367</v>
      </c>
      <c r="C265" s="44" t="s">
        <v>23</v>
      </c>
      <c r="D265" s="44" t="s">
        <v>47</v>
      </c>
      <c r="E265" s="44" t="n">
        <v>55</v>
      </c>
      <c r="F265" s="44" t="s">
        <v>54</v>
      </c>
      <c r="G265" s="44" t="n">
        <v>2015</v>
      </c>
      <c r="H265" s="44" t="s">
        <v>44</v>
      </c>
      <c r="I265" s="44" t="n">
        <v>126561</v>
      </c>
    </row>
    <row r="266" customFormat="false" ht="15" hidden="false" customHeight="false" outlineLevel="0" collapsed="false">
      <c r="A266" s="43" t="s">
        <v>410</v>
      </c>
      <c r="B266" s="43" t="s">
        <v>227</v>
      </c>
      <c r="C266" s="43" t="s">
        <v>23</v>
      </c>
      <c r="D266" s="43" t="s">
        <v>42</v>
      </c>
      <c r="E266" s="43" t="n">
        <v>34</v>
      </c>
      <c r="F266" s="43" t="s">
        <v>48</v>
      </c>
      <c r="G266" s="43" t="n">
        <v>2022</v>
      </c>
      <c r="H266" s="43" t="s">
        <v>44</v>
      </c>
      <c r="I266" s="43" t="n">
        <v>124815</v>
      </c>
    </row>
    <row r="267" customFormat="false" ht="15" hidden="false" customHeight="false" outlineLevel="0" collapsed="false">
      <c r="A267" s="44" t="s">
        <v>411</v>
      </c>
      <c r="B267" s="44" t="s">
        <v>174</v>
      </c>
      <c r="C267" s="44" t="s">
        <v>23</v>
      </c>
      <c r="D267" s="44" t="s">
        <v>42</v>
      </c>
      <c r="E267" s="44" t="n">
        <v>35</v>
      </c>
      <c r="F267" s="44" t="s">
        <v>54</v>
      </c>
      <c r="G267" s="44" t="n">
        <v>2015</v>
      </c>
      <c r="H267" s="44" t="s">
        <v>44</v>
      </c>
      <c r="I267" s="44" t="n">
        <v>67305</v>
      </c>
    </row>
    <row r="268" customFormat="false" ht="15" hidden="false" customHeight="false" outlineLevel="0" collapsed="false">
      <c r="A268" s="43" t="s">
        <v>412</v>
      </c>
      <c r="B268" s="43" t="s">
        <v>325</v>
      </c>
      <c r="C268" s="43" t="s">
        <v>23</v>
      </c>
      <c r="D268" s="43" t="s">
        <v>47</v>
      </c>
      <c r="E268" s="43" t="n">
        <v>30</v>
      </c>
      <c r="F268" s="43" t="s">
        <v>54</v>
      </c>
      <c r="G268" s="43" t="n">
        <v>2015</v>
      </c>
      <c r="H268" s="43" t="s">
        <v>44</v>
      </c>
      <c r="I268" s="43" t="n">
        <v>67336</v>
      </c>
    </row>
    <row r="269" customFormat="false" ht="15" hidden="false" customHeight="false" outlineLevel="0" collapsed="false">
      <c r="A269" s="44" t="s">
        <v>413</v>
      </c>
      <c r="B269" s="44" t="s">
        <v>214</v>
      </c>
      <c r="C269" s="44" t="s">
        <v>23</v>
      </c>
      <c r="D269" s="44" t="s">
        <v>42</v>
      </c>
      <c r="E269" s="44" t="n">
        <v>27</v>
      </c>
      <c r="F269" s="44" t="s">
        <v>51</v>
      </c>
      <c r="G269" s="44" t="n">
        <v>2021</v>
      </c>
      <c r="H269" s="44" t="s">
        <v>44</v>
      </c>
      <c r="I269" s="44" t="n">
        <v>44311</v>
      </c>
    </row>
    <row r="270" customFormat="false" ht="15" hidden="false" customHeight="false" outlineLevel="0" collapsed="false">
      <c r="A270" s="46" t="s">
        <v>414</v>
      </c>
      <c r="B270" s="46" t="s">
        <v>83</v>
      </c>
      <c r="C270" s="46" t="s">
        <v>23</v>
      </c>
      <c r="D270" s="46" t="s">
        <v>47</v>
      </c>
      <c r="E270" s="46" t="n">
        <v>40</v>
      </c>
      <c r="F270" s="46" t="s">
        <v>51</v>
      </c>
      <c r="G270" s="46" t="n">
        <v>2023</v>
      </c>
      <c r="H270" s="46" t="s">
        <v>81</v>
      </c>
      <c r="I270" s="46" t="n">
        <v>65421</v>
      </c>
    </row>
    <row r="271" customFormat="false" ht="15" hidden="false" customHeight="false" outlineLevel="0" collapsed="false">
      <c r="A271" s="44" t="s">
        <v>415</v>
      </c>
      <c r="B271" s="44" t="s">
        <v>88</v>
      </c>
      <c r="C271" s="44" t="s">
        <v>23</v>
      </c>
      <c r="D271" s="44" t="s">
        <v>47</v>
      </c>
      <c r="E271" s="44" t="n">
        <v>25</v>
      </c>
      <c r="F271" s="44" t="s">
        <v>61</v>
      </c>
      <c r="G271" s="44" t="n">
        <v>2021</v>
      </c>
      <c r="H271" s="44" t="s">
        <v>44</v>
      </c>
      <c r="I271" s="44" t="n">
        <v>62290</v>
      </c>
    </row>
    <row r="272" customFormat="false" ht="15" hidden="false" customHeight="false" outlineLevel="0" collapsed="false">
      <c r="A272" s="43" t="s">
        <v>416</v>
      </c>
      <c r="B272" s="43" t="s">
        <v>388</v>
      </c>
      <c r="C272" s="43" t="s">
        <v>23</v>
      </c>
      <c r="D272" s="43" t="s">
        <v>47</v>
      </c>
      <c r="E272" s="43" t="n">
        <v>52</v>
      </c>
      <c r="F272" s="43" t="s">
        <v>43</v>
      </c>
      <c r="G272" s="43" t="n">
        <v>2017</v>
      </c>
      <c r="H272" s="43" t="s">
        <v>44</v>
      </c>
      <c r="I272" s="43" t="n">
        <v>131631</v>
      </c>
    </row>
    <row r="273" customFormat="false" ht="15" hidden="false" customHeight="false" outlineLevel="0" collapsed="false">
      <c r="A273" s="44" t="s">
        <v>417</v>
      </c>
      <c r="B273" s="44" t="s">
        <v>207</v>
      </c>
      <c r="C273" s="44" t="s">
        <v>23</v>
      </c>
      <c r="D273" s="44" t="s">
        <v>47</v>
      </c>
      <c r="E273" s="44" t="n">
        <v>33</v>
      </c>
      <c r="F273" s="44" t="s">
        <v>54</v>
      </c>
      <c r="G273" s="44" t="n">
        <v>2015</v>
      </c>
      <c r="H273" s="44" t="s">
        <v>44</v>
      </c>
      <c r="I273" s="44" t="n">
        <v>134263</v>
      </c>
    </row>
    <row r="274" customFormat="false" ht="15" hidden="false" customHeight="false" outlineLevel="0" collapsed="false">
      <c r="A274" s="43" t="s">
        <v>418</v>
      </c>
      <c r="B274" s="43" t="s">
        <v>75</v>
      </c>
      <c r="C274" s="43" t="s">
        <v>23</v>
      </c>
      <c r="D274" s="43" t="s">
        <v>47</v>
      </c>
      <c r="E274" s="43" t="n">
        <v>55</v>
      </c>
      <c r="F274" s="43" t="s">
        <v>54</v>
      </c>
      <c r="G274" s="43" t="n">
        <v>2020</v>
      </c>
      <c r="H274" s="43" t="s">
        <v>44</v>
      </c>
      <c r="I274" s="43" t="n">
        <v>51885</v>
      </c>
    </row>
    <row r="275" customFormat="false" ht="15" hidden="false" customHeight="false" outlineLevel="0" collapsed="false">
      <c r="A275" s="44" t="s">
        <v>419</v>
      </c>
      <c r="B275" s="44" t="s">
        <v>174</v>
      </c>
      <c r="C275" s="44" t="s">
        <v>23</v>
      </c>
      <c r="D275" s="44" t="s">
        <v>47</v>
      </c>
      <c r="E275" s="44" t="n">
        <v>45</v>
      </c>
      <c r="F275" s="44" t="s">
        <v>48</v>
      </c>
      <c r="G275" s="44" t="n">
        <v>2015</v>
      </c>
      <c r="H275" s="44" t="s">
        <v>44</v>
      </c>
      <c r="I275" s="44" t="n">
        <v>104021</v>
      </c>
    </row>
    <row r="276" customFormat="false" ht="15" hidden="false" customHeight="false" outlineLevel="0" collapsed="false">
      <c r="A276" s="46" t="s">
        <v>420</v>
      </c>
      <c r="B276" s="46" t="s">
        <v>227</v>
      </c>
      <c r="C276" s="46" t="s">
        <v>23</v>
      </c>
      <c r="D276" s="46" t="s">
        <v>47</v>
      </c>
      <c r="E276" s="46" t="n">
        <v>43</v>
      </c>
      <c r="F276" s="46" t="s">
        <v>54</v>
      </c>
      <c r="G276" s="46" t="n">
        <v>2019</v>
      </c>
      <c r="H276" s="46" t="s">
        <v>81</v>
      </c>
      <c r="I276" s="46" t="n">
        <v>113540</v>
      </c>
    </row>
    <row r="277" customFormat="false" ht="15" hidden="false" customHeight="false" outlineLevel="0" collapsed="false">
      <c r="A277" s="44" t="s">
        <v>421</v>
      </c>
      <c r="B277" s="44" t="s">
        <v>97</v>
      </c>
      <c r="C277" s="44" t="s">
        <v>23</v>
      </c>
      <c r="D277" s="44" t="s">
        <v>47</v>
      </c>
      <c r="E277" s="44" t="n">
        <v>29</v>
      </c>
      <c r="F277" s="44" t="s">
        <v>48</v>
      </c>
      <c r="G277" s="44" t="n">
        <v>2023</v>
      </c>
      <c r="H277" s="44" t="s">
        <v>44</v>
      </c>
      <c r="I277" s="44" t="n">
        <v>88912</v>
      </c>
    </row>
    <row r="278" customFormat="false" ht="15" hidden="false" customHeight="false" outlineLevel="0" collapsed="false">
      <c r="A278" s="43" t="s">
        <v>422</v>
      </c>
      <c r="B278" s="43" t="s">
        <v>103</v>
      </c>
      <c r="C278" s="43" t="s">
        <v>23</v>
      </c>
      <c r="D278" s="43" t="s">
        <v>47</v>
      </c>
      <c r="E278" s="43" t="n">
        <v>33</v>
      </c>
      <c r="F278" s="43" t="s">
        <v>54</v>
      </c>
      <c r="G278" s="43" t="n">
        <v>2023</v>
      </c>
      <c r="H278" s="43" t="s">
        <v>44</v>
      </c>
      <c r="I278" s="43" t="n">
        <v>146883</v>
      </c>
    </row>
    <row r="279" customFormat="false" ht="15" hidden="false" customHeight="false" outlineLevel="0" collapsed="false">
      <c r="A279" s="45" t="s">
        <v>423</v>
      </c>
      <c r="B279" s="45" t="s">
        <v>168</v>
      </c>
      <c r="C279" s="45" t="s">
        <v>23</v>
      </c>
      <c r="D279" s="45" t="s">
        <v>42</v>
      </c>
      <c r="E279" s="45" t="n">
        <v>37</v>
      </c>
      <c r="F279" s="45" t="s">
        <v>61</v>
      </c>
      <c r="G279" s="45" t="n">
        <v>2020</v>
      </c>
      <c r="H279" s="45" t="s">
        <v>81</v>
      </c>
      <c r="I279" s="45" t="n">
        <v>41083</v>
      </c>
    </row>
    <row r="280" customFormat="false" ht="15" hidden="false" customHeight="false" outlineLevel="0" collapsed="false">
      <c r="A280" s="46" t="s">
        <v>424</v>
      </c>
      <c r="B280" s="46" t="s">
        <v>140</v>
      </c>
      <c r="C280" s="46" t="s">
        <v>23</v>
      </c>
      <c r="D280" s="46" t="s">
        <v>42</v>
      </c>
      <c r="E280" s="46" t="n">
        <v>45</v>
      </c>
      <c r="F280" s="46" t="s">
        <v>54</v>
      </c>
      <c r="G280" s="46" t="n">
        <v>2022</v>
      </c>
      <c r="H280" s="46" t="s">
        <v>76</v>
      </c>
      <c r="I280" s="46" t="n">
        <v>42148</v>
      </c>
    </row>
    <row r="281" customFormat="false" ht="15" hidden="false" customHeight="false" outlineLevel="0" collapsed="false">
      <c r="A281" s="45" t="s">
        <v>425</v>
      </c>
      <c r="B281" s="45" t="s">
        <v>181</v>
      </c>
      <c r="C281" s="45" t="s">
        <v>23</v>
      </c>
      <c r="D281" s="45" t="s">
        <v>47</v>
      </c>
      <c r="E281" s="45" t="n">
        <v>26</v>
      </c>
      <c r="F281" s="45" t="s">
        <v>51</v>
      </c>
      <c r="G281" s="45" t="n">
        <v>2023</v>
      </c>
      <c r="H281" s="45" t="s">
        <v>81</v>
      </c>
      <c r="I281" s="45" t="n">
        <v>54595</v>
      </c>
    </row>
    <row r="282" customFormat="false" ht="15" hidden="false" customHeight="false" outlineLevel="0" collapsed="false">
      <c r="A282" s="43" t="s">
        <v>426</v>
      </c>
      <c r="B282" s="43" t="s">
        <v>140</v>
      </c>
      <c r="C282" s="43" t="s">
        <v>23</v>
      </c>
      <c r="D282" s="43" t="s">
        <v>42</v>
      </c>
      <c r="E282" s="43" t="n">
        <v>31</v>
      </c>
      <c r="F282" s="43" t="s">
        <v>48</v>
      </c>
      <c r="G282" s="43" t="n">
        <v>2023</v>
      </c>
      <c r="H282" s="43" t="s">
        <v>44</v>
      </c>
      <c r="I282" s="43" t="n">
        <v>136592</v>
      </c>
    </row>
    <row r="283" customFormat="false" ht="15" hidden="false" customHeight="false" outlineLevel="0" collapsed="false">
      <c r="A283" s="44" t="s">
        <v>427</v>
      </c>
      <c r="B283" s="44" t="s">
        <v>88</v>
      </c>
      <c r="C283" s="44" t="s">
        <v>23</v>
      </c>
      <c r="D283" s="44" t="s">
        <v>42</v>
      </c>
      <c r="E283" s="44" t="n">
        <v>27</v>
      </c>
      <c r="F283" s="44" t="s">
        <v>48</v>
      </c>
      <c r="G283" s="44" t="n">
        <v>2015</v>
      </c>
      <c r="H283" s="44" t="s">
        <v>44</v>
      </c>
      <c r="I283" s="44" t="n">
        <v>85280</v>
      </c>
    </row>
    <row r="284" customFormat="false" ht="15" hidden="false" customHeight="false" outlineLevel="0" collapsed="false">
      <c r="A284" s="43" t="s">
        <v>428</v>
      </c>
      <c r="B284" s="43" t="s">
        <v>429</v>
      </c>
      <c r="C284" s="43" t="s">
        <v>23</v>
      </c>
      <c r="D284" s="43" t="s">
        <v>47</v>
      </c>
      <c r="E284" s="43" t="n">
        <v>55</v>
      </c>
      <c r="F284" s="43" t="s">
        <v>54</v>
      </c>
      <c r="G284" s="43" t="n">
        <v>2021</v>
      </c>
      <c r="H284" s="43" t="s">
        <v>44</v>
      </c>
      <c r="I284" s="43" t="n">
        <v>108626</v>
      </c>
    </row>
    <row r="285" customFormat="false" ht="15" hidden="false" customHeight="false" outlineLevel="0" collapsed="false">
      <c r="A285" s="45" t="s">
        <v>430</v>
      </c>
      <c r="B285" s="45" t="s">
        <v>120</v>
      </c>
      <c r="C285" s="45" t="s">
        <v>23</v>
      </c>
      <c r="D285" s="45" t="s">
        <v>47</v>
      </c>
      <c r="E285" s="45" t="n">
        <v>23</v>
      </c>
      <c r="F285" s="45" t="s">
        <v>61</v>
      </c>
      <c r="G285" s="45" t="n">
        <v>2022</v>
      </c>
      <c r="H285" s="45" t="s">
        <v>76</v>
      </c>
      <c r="I285" s="45" t="n">
        <v>43667</v>
      </c>
    </row>
    <row r="286" customFormat="false" ht="15" hidden="false" customHeight="false" outlineLevel="0" collapsed="false">
      <c r="A286" s="43" t="s">
        <v>431</v>
      </c>
      <c r="B286" s="43" t="s">
        <v>65</v>
      </c>
      <c r="C286" s="43" t="s">
        <v>23</v>
      </c>
      <c r="D286" s="43" t="s">
        <v>47</v>
      </c>
      <c r="E286" s="43" t="n">
        <v>48</v>
      </c>
      <c r="F286" s="43" t="s">
        <v>51</v>
      </c>
      <c r="G286" s="43" t="n">
        <v>2023</v>
      </c>
      <c r="H286" s="43" t="s">
        <v>44</v>
      </c>
      <c r="I286" s="43" t="n">
        <v>52552</v>
      </c>
    </row>
    <row r="287" customFormat="false" ht="15" hidden="false" customHeight="false" outlineLevel="0" collapsed="false">
      <c r="A287" s="44" t="s">
        <v>432</v>
      </c>
      <c r="B287" s="44" t="s">
        <v>367</v>
      </c>
      <c r="C287" s="44" t="s">
        <v>25</v>
      </c>
      <c r="D287" s="44" t="s">
        <v>47</v>
      </c>
      <c r="E287" s="44" t="n">
        <v>52</v>
      </c>
      <c r="F287" s="44" t="s">
        <v>51</v>
      </c>
      <c r="G287" s="44" t="n">
        <v>2020</v>
      </c>
      <c r="H287" s="44" t="s">
        <v>44</v>
      </c>
      <c r="I287" s="44" t="n">
        <v>53177</v>
      </c>
    </row>
    <row r="288" customFormat="false" ht="15" hidden="false" customHeight="false" outlineLevel="0" collapsed="false">
      <c r="A288" s="43" t="s">
        <v>433</v>
      </c>
      <c r="B288" s="43" t="s">
        <v>107</v>
      </c>
      <c r="C288" s="43" t="s">
        <v>25</v>
      </c>
      <c r="D288" s="43" t="s">
        <v>47</v>
      </c>
      <c r="E288" s="43" t="n">
        <v>24</v>
      </c>
      <c r="F288" s="43" t="s">
        <v>48</v>
      </c>
      <c r="G288" s="43" t="n">
        <v>2017</v>
      </c>
      <c r="H288" s="43" t="s">
        <v>44</v>
      </c>
      <c r="I288" s="43" t="n">
        <v>121613</v>
      </c>
    </row>
    <row r="289" customFormat="false" ht="15" hidden="false" customHeight="false" outlineLevel="0" collapsed="false">
      <c r="A289" s="44" t="s">
        <v>434</v>
      </c>
      <c r="B289" s="44" t="s">
        <v>241</v>
      </c>
      <c r="C289" s="44" t="s">
        <v>25</v>
      </c>
      <c r="D289" s="44" t="s">
        <v>42</v>
      </c>
      <c r="E289" s="44" t="n">
        <v>54</v>
      </c>
      <c r="F289" s="44" t="s">
        <v>51</v>
      </c>
      <c r="G289" s="44" t="n">
        <v>2020</v>
      </c>
      <c r="H289" s="44" t="s">
        <v>44</v>
      </c>
      <c r="I289" s="44" t="n">
        <v>58860</v>
      </c>
    </row>
    <row r="290" customFormat="false" ht="15" hidden="false" customHeight="false" outlineLevel="0" collapsed="false">
      <c r="A290" s="43" t="s">
        <v>435</v>
      </c>
      <c r="B290" s="43" t="s">
        <v>41</v>
      </c>
      <c r="C290" s="43" t="s">
        <v>25</v>
      </c>
      <c r="D290" s="43" t="s">
        <v>42</v>
      </c>
      <c r="E290" s="43" t="n">
        <v>49</v>
      </c>
      <c r="F290" s="43" t="s">
        <v>51</v>
      </c>
      <c r="G290" s="43" t="n">
        <v>2018</v>
      </c>
      <c r="H290" s="43" t="s">
        <v>44</v>
      </c>
      <c r="I290" s="43" t="n">
        <v>144938</v>
      </c>
    </row>
    <row r="291" customFormat="false" ht="15" hidden="false" customHeight="false" outlineLevel="0" collapsed="false">
      <c r="A291" s="45" t="s">
        <v>436</v>
      </c>
      <c r="B291" s="45" t="s">
        <v>192</v>
      </c>
      <c r="C291" s="45" t="s">
        <v>25</v>
      </c>
      <c r="D291" s="45" t="s">
        <v>47</v>
      </c>
      <c r="E291" s="45" t="n">
        <v>31</v>
      </c>
      <c r="F291" s="45" t="s">
        <v>54</v>
      </c>
      <c r="G291" s="45" t="n">
        <v>2022</v>
      </c>
      <c r="H291" s="45" t="s">
        <v>76</v>
      </c>
      <c r="I291" s="45" t="n">
        <v>93977</v>
      </c>
    </row>
    <row r="292" customFormat="false" ht="15" hidden="false" customHeight="false" outlineLevel="0" collapsed="false">
      <c r="A292" s="43" t="s">
        <v>437</v>
      </c>
      <c r="B292" s="43" t="s">
        <v>367</v>
      </c>
      <c r="C292" s="43" t="s">
        <v>25</v>
      </c>
      <c r="D292" s="43" t="s">
        <v>42</v>
      </c>
      <c r="E292" s="43" t="n">
        <v>28</v>
      </c>
      <c r="F292" s="43" t="s">
        <v>54</v>
      </c>
      <c r="G292" s="43" t="n">
        <v>2015</v>
      </c>
      <c r="H292" s="43" t="s">
        <v>44</v>
      </c>
      <c r="I292" s="43" t="n">
        <v>137067</v>
      </c>
    </row>
    <row r="293" customFormat="false" ht="15" hidden="false" customHeight="false" outlineLevel="0" collapsed="false">
      <c r="A293" s="44" t="s">
        <v>438</v>
      </c>
      <c r="B293" s="44" t="s">
        <v>439</v>
      </c>
      <c r="C293" s="44" t="s">
        <v>25</v>
      </c>
      <c r="D293" s="44" t="s">
        <v>47</v>
      </c>
      <c r="E293" s="44" t="n">
        <v>41</v>
      </c>
      <c r="F293" s="44" t="s">
        <v>48</v>
      </c>
      <c r="G293" s="44" t="n">
        <v>2021</v>
      </c>
      <c r="H293" s="44" t="s">
        <v>44</v>
      </c>
      <c r="I293" s="44" t="n">
        <v>99782</v>
      </c>
    </row>
    <row r="294" customFormat="false" ht="15" hidden="false" customHeight="false" outlineLevel="0" collapsed="false">
      <c r="A294" s="43" t="s">
        <v>440</v>
      </c>
      <c r="B294" s="43" t="s">
        <v>320</v>
      </c>
      <c r="C294" s="43" t="s">
        <v>25</v>
      </c>
      <c r="D294" s="43" t="s">
        <v>42</v>
      </c>
      <c r="E294" s="43" t="n">
        <v>43</v>
      </c>
      <c r="F294" s="43" t="s">
        <v>48</v>
      </c>
      <c r="G294" s="43" t="n">
        <v>2021</v>
      </c>
      <c r="H294" s="43" t="s">
        <v>44</v>
      </c>
      <c r="I294" s="43" t="n">
        <v>141532</v>
      </c>
    </row>
    <row r="295" customFormat="false" ht="15" hidden="false" customHeight="false" outlineLevel="0" collapsed="false">
      <c r="A295" s="44" t="s">
        <v>441</v>
      </c>
      <c r="B295" s="44" t="s">
        <v>88</v>
      </c>
      <c r="C295" s="44" t="s">
        <v>25</v>
      </c>
      <c r="D295" s="44" t="s">
        <v>42</v>
      </c>
      <c r="E295" s="44" t="n">
        <v>57</v>
      </c>
      <c r="F295" s="44" t="s">
        <v>43</v>
      </c>
      <c r="G295" s="44" t="n">
        <v>2023</v>
      </c>
      <c r="H295" s="44" t="s">
        <v>44</v>
      </c>
      <c r="I295" s="44" t="n">
        <v>105058</v>
      </c>
    </row>
    <row r="296" customFormat="false" ht="15" hidden="false" customHeight="false" outlineLevel="0" collapsed="false">
      <c r="A296" s="43" t="s">
        <v>442</v>
      </c>
      <c r="B296" s="43" t="s">
        <v>136</v>
      </c>
      <c r="C296" s="43" t="s">
        <v>25</v>
      </c>
      <c r="D296" s="43" t="s">
        <v>42</v>
      </c>
      <c r="E296" s="43" t="n">
        <v>57</v>
      </c>
      <c r="F296" s="43" t="s">
        <v>61</v>
      </c>
      <c r="G296" s="43" t="n">
        <v>2020</v>
      </c>
      <c r="H296" s="43" t="s">
        <v>44</v>
      </c>
      <c r="I296" s="43" t="n">
        <v>116881</v>
      </c>
    </row>
    <row r="297" customFormat="false" ht="15" hidden="false" customHeight="false" outlineLevel="0" collapsed="false">
      <c r="A297" s="44" t="s">
        <v>443</v>
      </c>
      <c r="B297" s="44" t="s">
        <v>65</v>
      </c>
      <c r="C297" s="44" t="s">
        <v>25</v>
      </c>
      <c r="D297" s="44" t="s">
        <v>42</v>
      </c>
      <c r="E297" s="44" t="n">
        <v>43</v>
      </c>
      <c r="F297" s="44" t="s">
        <v>48</v>
      </c>
      <c r="G297" s="44" t="n">
        <v>2015</v>
      </c>
      <c r="H297" s="44" t="s">
        <v>44</v>
      </c>
      <c r="I297" s="44" t="n">
        <v>57407</v>
      </c>
    </row>
    <row r="298" customFormat="false" ht="15" hidden="false" customHeight="false" outlineLevel="0" collapsed="false">
      <c r="A298" s="43" t="s">
        <v>444</v>
      </c>
      <c r="B298" s="43" t="s">
        <v>112</v>
      </c>
      <c r="C298" s="43" t="s">
        <v>25</v>
      </c>
      <c r="D298" s="43" t="s">
        <v>42</v>
      </c>
      <c r="E298" s="43" t="n">
        <v>27</v>
      </c>
      <c r="F298" s="43" t="s">
        <v>54</v>
      </c>
      <c r="G298" s="43" t="n">
        <v>2017</v>
      </c>
      <c r="H298" s="43" t="s">
        <v>44</v>
      </c>
      <c r="I298" s="43" t="n">
        <v>86481</v>
      </c>
    </row>
    <row r="299" customFormat="false" ht="15" hidden="false" customHeight="false" outlineLevel="0" collapsed="false">
      <c r="A299" s="44" t="s">
        <v>445</v>
      </c>
      <c r="B299" s="44" t="s">
        <v>219</v>
      </c>
      <c r="C299" s="44" t="s">
        <v>27</v>
      </c>
      <c r="D299" s="44" t="s">
        <v>42</v>
      </c>
      <c r="E299" s="44" t="n">
        <v>22</v>
      </c>
      <c r="F299" s="44" t="s">
        <v>43</v>
      </c>
      <c r="G299" s="44" t="n">
        <v>2016</v>
      </c>
      <c r="H299" s="44" t="s">
        <v>44</v>
      </c>
      <c r="I299" s="44" t="n">
        <v>127620</v>
      </c>
    </row>
    <row r="300" customFormat="false" ht="15" hidden="false" customHeight="false" outlineLevel="0" collapsed="false">
      <c r="A300" s="43" t="s">
        <v>446</v>
      </c>
      <c r="B300" s="43" t="s">
        <v>157</v>
      </c>
      <c r="C300" s="43" t="s">
        <v>27</v>
      </c>
      <c r="D300" s="43" t="s">
        <v>42</v>
      </c>
      <c r="E300" s="43" t="n">
        <v>48</v>
      </c>
      <c r="F300" s="43" t="s">
        <v>43</v>
      </c>
      <c r="G300" s="43" t="n">
        <v>2016</v>
      </c>
      <c r="H300" s="43" t="s">
        <v>44</v>
      </c>
      <c r="I300" s="43" t="n">
        <v>48984</v>
      </c>
    </row>
    <row r="301" customFormat="false" ht="15" hidden="false" customHeight="false" outlineLevel="0" collapsed="false">
      <c r="A301" s="44" t="s">
        <v>447</v>
      </c>
      <c r="B301" s="44" t="s">
        <v>216</v>
      </c>
      <c r="C301" s="44" t="s">
        <v>27</v>
      </c>
      <c r="D301" s="44" t="s">
        <v>47</v>
      </c>
      <c r="E301" s="44" t="n">
        <v>28</v>
      </c>
      <c r="F301" s="44" t="s">
        <v>48</v>
      </c>
      <c r="G301" s="44" t="n">
        <v>2024</v>
      </c>
      <c r="H301" s="44" t="s">
        <v>44</v>
      </c>
      <c r="I301" s="44" t="n">
        <v>106794</v>
      </c>
    </row>
    <row r="302" customFormat="false" ht="15" hidden="false" customHeight="false" outlineLevel="0" collapsed="false">
      <c r="A302" s="46" t="s">
        <v>448</v>
      </c>
      <c r="B302" s="46" t="s">
        <v>192</v>
      </c>
      <c r="C302" s="46" t="s">
        <v>27</v>
      </c>
      <c r="D302" s="46" t="s">
        <v>42</v>
      </c>
      <c r="E302" s="46" t="n">
        <v>29</v>
      </c>
      <c r="F302" s="46" t="s">
        <v>43</v>
      </c>
      <c r="G302" s="46" t="n">
        <v>2023</v>
      </c>
      <c r="H302" s="46" t="s">
        <v>76</v>
      </c>
      <c r="I302" s="46" t="n">
        <v>94985</v>
      </c>
    </row>
    <row r="303" customFormat="false" ht="15" hidden="false" customHeight="false" outlineLevel="0" collapsed="false">
      <c r="A303" s="44" t="s">
        <v>449</v>
      </c>
      <c r="B303" s="44" t="s">
        <v>354</v>
      </c>
      <c r="C303" s="44" t="s">
        <v>27</v>
      </c>
      <c r="D303" s="44" t="s">
        <v>42</v>
      </c>
      <c r="E303" s="44" t="n">
        <v>22</v>
      </c>
      <c r="F303" s="44" t="s">
        <v>48</v>
      </c>
      <c r="G303" s="44" t="n">
        <v>2022</v>
      </c>
      <c r="H303" s="44" t="s">
        <v>44</v>
      </c>
      <c r="I303" s="44" t="n">
        <v>60460</v>
      </c>
    </row>
    <row r="304" customFormat="false" ht="15" hidden="false" customHeight="false" outlineLevel="0" collapsed="false">
      <c r="A304" s="43" t="s">
        <v>450</v>
      </c>
      <c r="B304" s="43" t="s">
        <v>231</v>
      </c>
      <c r="C304" s="43" t="s">
        <v>27</v>
      </c>
      <c r="D304" s="43" t="s">
        <v>42</v>
      </c>
      <c r="E304" s="43" t="n">
        <v>54</v>
      </c>
      <c r="F304" s="43" t="s">
        <v>48</v>
      </c>
      <c r="G304" s="43" t="n">
        <v>2020</v>
      </c>
      <c r="H304" s="43" t="s">
        <v>44</v>
      </c>
      <c r="I304" s="43" t="n">
        <v>66197</v>
      </c>
    </row>
    <row r="305" customFormat="false" ht="15" hidden="false" customHeight="false" outlineLevel="0" collapsed="false">
      <c r="A305" s="45" t="s">
        <v>451</v>
      </c>
      <c r="B305" s="45" t="s">
        <v>155</v>
      </c>
      <c r="C305" s="45" t="s">
        <v>27</v>
      </c>
      <c r="D305" s="45" t="s">
        <v>42</v>
      </c>
      <c r="E305" s="45" t="n">
        <v>35</v>
      </c>
      <c r="F305" s="45" t="s">
        <v>61</v>
      </c>
      <c r="G305" s="45" t="n">
        <v>2021</v>
      </c>
      <c r="H305" s="45" t="s">
        <v>76</v>
      </c>
      <c r="I305" s="45" t="n">
        <v>76592</v>
      </c>
    </row>
    <row r="306" customFormat="false" ht="15" hidden="false" customHeight="false" outlineLevel="0" collapsed="false">
      <c r="A306" s="43" t="s">
        <v>452</v>
      </c>
      <c r="B306" s="43" t="s">
        <v>65</v>
      </c>
      <c r="C306" s="43" t="s">
        <v>27</v>
      </c>
      <c r="D306" s="43" t="s">
        <v>47</v>
      </c>
      <c r="E306" s="43" t="n">
        <v>23</v>
      </c>
      <c r="F306" s="43" t="s">
        <v>43</v>
      </c>
      <c r="G306" s="43" t="n">
        <v>2016</v>
      </c>
      <c r="H306" s="43" t="s">
        <v>44</v>
      </c>
      <c r="I306" s="43" t="n">
        <v>83477</v>
      </c>
    </row>
    <row r="307" customFormat="false" ht="15" hidden="false" customHeight="false" outlineLevel="0" collapsed="false">
      <c r="A307" s="45" t="s">
        <v>453</v>
      </c>
      <c r="B307" s="45" t="s">
        <v>50</v>
      </c>
      <c r="C307" s="45" t="s">
        <v>27</v>
      </c>
      <c r="D307" s="45" t="s">
        <v>42</v>
      </c>
      <c r="E307" s="45" t="n">
        <v>48</v>
      </c>
      <c r="F307" s="45" t="s">
        <v>61</v>
      </c>
      <c r="G307" s="45" t="n">
        <v>2020</v>
      </c>
      <c r="H307" s="45" t="s">
        <v>76</v>
      </c>
      <c r="I307" s="45" t="n">
        <v>79346</v>
      </c>
    </row>
    <row r="308" customFormat="false" ht="15" hidden="false" customHeight="false" outlineLevel="0" collapsed="false">
      <c r="A308" s="43" t="s">
        <v>454</v>
      </c>
      <c r="B308" s="43" t="s">
        <v>299</v>
      </c>
      <c r="C308" s="43" t="s">
        <v>27</v>
      </c>
      <c r="D308" s="43" t="s">
        <v>42</v>
      </c>
      <c r="E308" s="43" t="n">
        <v>40</v>
      </c>
      <c r="F308" s="43" t="s">
        <v>54</v>
      </c>
      <c r="G308" s="43" t="n">
        <v>2016</v>
      </c>
      <c r="H308" s="43" t="s">
        <v>44</v>
      </c>
      <c r="I308" s="43" t="n">
        <v>107992</v>
      </c>
    </row>
    <row r="309" customFormat="false" ht="15" hidden="false" customHeight="false" outlineLevel="0" collapsed="false">
      <c r="A309" s="44" t="s">
        <v>455</v>
      </c>
      <c r="B309" s="44" t="s">
        <v>136</v>
      </c>
      <c r="C309" s="44" t="s">
        <v>27</v>
      </c>
      <c r="D309" s="44" t="s">
        <v>42</v>
      </c>
      <c r="E309" s="44" t="n">
        <v>27</v>
      </c>
      <c r="F309" s="44" t="s">
        <v>51</v>
      </c>
      <c r="G309" s="44" t="n">
        <v>2019</v>
      </c>
      <c r="H309" s="44" t="s">
        <v>44</v>
      </c>
      <c r="I309" s="44" t="n">
        <v>139457</v>
      </c>
    </row>
    <row r="310" customFormat="false" ht="15" hidden="false" customHeight="false" outlineLevel="0" collapsed="false">
      <c r="A310" s="43" t="s">
        <v>456</v>
      </c>
      <c r="B310" s="43" t="s">
        <v>325</v>
      </c>
      <c r="C310" s="43" t="s">
        <v>27</v>
      </c>
      <c r="D310" s="43" t="s">
        <v>42</v>
      </c>
      <c r="E310" s="43" t="n">
        <v>46</v>
      </c>
      <c r="F310" s="43" t="s">
        <v>54</v>
      </c>
      <c r="G310" s="43" t="n">
        <v>2015</v>
      </c>
      <c r="H310" s="43" t="s">
        <v>44</v>
      </c>
      <c r="I310" s="43" t="n">
        <v>108590</v>
      </c>
    </row>
    <row r="311" customFormat="false" ht="15" hidden="false" customHeight="false" outlineLevel="0" collapsed="false">
      <c r="A311" s="44" t="s">
        <v>457</v>
      </c>
      <c r="B311" s="44" t="s">
        <v>112</v>
      </c>
      <c r="C311" s="44" t="s">
        <v>27</v>
      </c>
      <c r="D311" s="44" t="s">
        <v>47</v>
      </c>
      <c r="E311" s="44" t="n">
        <v>35</v>
      </c>
      <c r="F311" s="44" t="s">
        <v>61</v>
      </c>
      <c r="G311" s="44" t="n">
        <v>2015</v>
      </c>
      <c r="H311" s="44" t="s">
        <v>44</v>
      </c>
      <c r="I311" s="44" t="n">
        <v>138259</v>
      </c>
    </row>
    <row r="312" customFormat="false" ht="15" hidden="false" customHeight="false" outlineLevel="0" collapsed="false">
      <c r="A312" s="43" t="s">
        <v>458</v>
      </c>
      <c r="B312" s="43" t="s">
        <v>459</v>
      </c>
      <c r="C312" s="43" t="s">
        <v>27</v>
      </c>
      <c r="D312" s="43" t="s">
        <v>47</v>
      </c>
      <c r="E312" s="43" t="n">
        <v>47</v>
      </c>
      <c r="F312" s="43" t="s">
        <v>54</v>
      </c>
      <c r="G312" s="43" t="n">
        <v>2018</v>
      </c>
      <c r="H312" s="43" t="s">
        <v>44</v>
      </c>
      <c r="I312" s="43" t="n">
        <v>120680</v>
      </c>
    </row>
    <row r="313" customFormat="false" ht="15" hidden="false" customHeight="false" outlineLevel="0" collapsed="false">
      <c r="A313" s="44" t="s">
        <v>460</v>
      </c>
      <c r="B313" s="44" t="s">
        <v>80</v>
      </c>
      <c r="C313" s="44" t="s">
        <v>27</v>
      </c>
      <c r="D313" s="44" t="s">
        <v>42</v>
      </c>
      <c r="E313" s="44" t="n">
        <v>30</v>
      </c>
      <c r="F313" s="44" t="s">
        <v>48</v>
      </c>
      <c r="G313" s="44" t="n">
        <v>2021</v>
      </c>
      <c r="H313" s="44" t="s">
        <v>44</v>
      </c>
      <c r="I313" s="44" t="n">
        <v>77057</v>
      </c>
    </row>
    <row r="314" customFormat="false" ht="15" hidden="false" customHeight="false" outlineLevel="0" collapsed="false">
      <c r="A314" s="43" t="s">
        <v>461</v>
      </c>
      <c r="B314" s="43" t="s">
        <v>165</v>
      </c>
      <c r="C314" s="43" t="s">
        <v>27</v>
      </c>
      <c r="D314" s="43" t="s">
        <v>47</v>
      </c>
      <c r="E314" s="43" t="n">
        <v>44</v>
      </c>
      <c r="F314" s="43" t="s">
        <v>43</v>
      </c>
      <c r="G314" s="43" t="n">
        <v>2019</v>
      </c>
      <c r="H314" s="43" t="s">
        <v>44</v>
      </c>
      <c r="I314" s="43" t="n">
        <v>60416</v>
      </c>
    </row>
    <row r="315" customFormat="false" ht="15" hidden="false" customHeight="false" outlineLevel="0" collapsed="false">
      <c r="A315" s="44" t="s">
        <v>462</v>
      </c>
      <c r="B315" s="44" t="s">
        <v>90</v>
      </c>
      <c r="C315" s="44" t="s">
        <v>27</v>
      </c>
      <c r="D315" s="44" t="s">
        <v>47</v>
      </c>
      <c r="E315" s="44" t="n">
        <v>46</v>
      </c>
      <c r="F315" s="44" t="s">
        <v>61</v>
      </c>
      <c r="G315" s="44" t="n">
        <v>2019</v>
      </c>
      <c r="H315" s="44" t="s">
        <v>44</v>
      </c>
      <c r="I315" s="44" t="n">
        <v>58286</v>
      </c>
    </row>
    <row r="316" customFormat="false" ht="15" hidden="false" customHeight="false" outlineLevel="0" collapsed="false">
      <c r="A316" s="43" t="s">
        <v>463</v>
      </c>
      <c r="B316" s="43" t="s">
        <v>107</v>
      </c>
      <c r="C316" s="43" t="s">
        <v>27</v>
      </c>
      <c r="D316" s="43" t="s">
        <v>42</v>
      </c>
      <c r="E316" s="43" t="n">
        <v>45</v>
      </c>
      <c r="F316" s="43" t="s">
        <v>43</v>
      </c>
      <c r="G316" s="43" t="n">
        <v>2018</v>
      </c>
      <c r="H316" s="43" t="s">
        <v>44</v>
      </c>
      <c r="I316" s="43" t="n">
        <v>129136</v>
      </c>
    </row>
    <row r="317" customFormat="false" ht="15" hidden="false" customHeight="false" outlineLevel="0" collapsed="false">
      <c r="A317" s="44" t="s">
        <v>464</v>
      </c>
      <c r="B317" s="44" t="s">
        <v>80</v>
      </c>
      <c r="C317" s="44" t="s">
        <v>27</v>
      </c>
      <c r="D317" s="44" t="s">
        <v>42</v>
      </c>
      <c r="E317" s="44" t="n">
        <v>44</v>
      </c>
      <c r="F317" s="44" t="s">
        <v>43</v>
      </c>
      <c r="G317" s="44" t="n">
        <v>2019</v>
      </c>
      <c r="H317" s="44" t="s">
        <v>44</v>
      </c>
      <c r="I317" s="44" t="n">
        <v>48446</v>
      </c>
    </row>
    <row r="318" customFormat="false" ht="15" hidden="false" customHeight="false" outlineLevel="0" collapsed="false">
      <c r="A318" s="43" t="s">
        <v>465</v>
      </c>
      <c r="B318" s="43" t="s">
        <v>439</v>
      </c>
      <c r="C318" s="43" t="s">
        <v>27</v>
      </c>
      <c r="D318" s="43" t="s">
        <v>47</v>
      </c>
      <c r="E318" s="43" t="n">
        <v>30</v>
      </c>
      <c r="F318" s="43" t="s">
        <v>48</v>
      </c>
      <c r="G318" s="43" t="n">
        <v>2016</v>
      </c>
      <c r="H318" s="43" t="s">
        <v>44</v>
      </c>
      <c r="I318" s="43" t="n">
        <v>47574</v>
      </c>
    </row>
    <row r="319" customFormat="false" ht="15" hidden="false" customHeight="false" outlineLevel="0" collapsed="false">
      <c r="A319" s="44" t="s">
        <v>466</v>
      </c>
      <c r="B319" s="44" t="s">
        <v>101</v>
      </c>
      <c r="C319" s="44" t="s">
        <v>27</v>
      </c>
      <c r="D319" s="44" t="s">
        <v>47</v>
      </c>
      <c r="E319" s="44" t="n">
        <v>56</v>
      </c>
      <c r="F319" s="44" t="s">
        <v>48</v>
      </c>
      <c r="G319" s="44" t="n">
        <v>2016</v>
      </c>
      <c r="H319" s="44" t="s">
        <v>44</v>
      </c>
      <c r="I319" s="44" t="n">
        <v>41400</v>
      </c>
    </row>
    <row r="320" customFormat="false" ht="15" hidden="false" customHeight="false" outlineLevel="0" collapsed="false">
      <c r="A320" s="43" t="s">
        <v>467</v>
      </c>
      <c r="B320" s="43" t="s">
        <v>192</v>
      </c>
      <c r="C320" s="43" t="s">
        <v>27</v>
      </c>
      <c r="D320" s="43" t="s">
        <v>47</v>
      </c>
      <c r="E320" s="43" t="n">
        <v>32</v>
      </c>
      <c r="F320" s="43" t="s">
        <v>54</v>
      </c>
      <c r="G320" s="43" t="n">
        <v>2021</v>
      </c>
      <c r="H320" s="43" t="s">
        <v>44</v>
      </c>
      <c r="I320" s="43" t="n">
        <v>110985</v>
      </c>
    </row>
    <row r="321" customFormat="false" ht="15" hidden="false" customHeight="false" outlineLevel="0" collapsed="false">
      <c r="A321" s="44" t="s">
        <v>468</v>
      </c>
      <c r="B321" s="44" t="s">
        <v>75</v>
      </c>
      <c r="C321" s="44" t="s">
        <v>27</v>
      </c>
      <c r="D321" s="44" t="s">
        <v>47</v>
      </c>
      <c r="E321" s="44" t="n">
        <v>46</v>
      </c>
      <c r="F321" s="44" t="s">
        <v>48</v>
      </c>
      <c r="G321" s="44" t="n">
        <v>2020</v>
      </c>
      <c r="H321" s="44" t="s">
        <v>44</v>
      </c>
      <c r="I321" s="44" t="n">
        <v>76883</v>
      </c>
    </row>
    <row r="322" customFormat="false" ht="15" hidden="false" customHeight="false" outlineLevel="0" collapsed="false">
      <c r="A322" s="43" t="s">
        <v>469</v>
      </c>
      <c r="B322" s="43" t="s">
        <v>212</v>
      </c>
      <c r="C322" s="43" t="s">
        <v>27</v>
      </c>
      <c r="D322" s="43" t="s">
        <v>42</v>
      </c>
      <c r="E322" s="43" t="n">
        <v>26</v>
      </c>
      <c r="F322" s="43" t="s">
        <v>43</v>
      </c>
      <c r="G322" s="43" t="n">
        <v>2016</v>
      </c>
      <c r="H322" s="43" t="s">
        <v>44</v>
      </c>
      <c r="I322" s="43" t="n">
        <v>125182</v>
      </c>
    </row>
    <row r="323" customFormat="false" ht="15" hidden="false" customHeight="false" outlineLevel="0" collapsed="false">
      <c r="A323" s="44" t="s">
        <v>470</v>
      </c>
      <c r="B323" s="44" t="s">
        <v>95</v>
      </c>
      <c r="C323" s="44" t="s">
        <v>27</v>
      </c>
      <c r="D323" s="44" t="s">
        <v>47</v>
      </c>
      <c r="E323" s="44" t="n">
        <v>42</v>
      </c>
      <c r="F323" s="44" t="s">
        <v>48</v>
      </c>
      <c r="G323" s="44" t="n">
        <v>2024</v>
      </c>
      <c r="H323" s="44" t="s">
        <v>44</v>
      </c>
      <c r="I323" s="44" t="n">
        <v>94519</v>
      </c>
    </row>
    <row r="324" customFormat="false" ht="15" hidden="false" customHeight="false" outlineLevel="0" collapsed="false">
      <c r="A324" s="46" t="s">
        <v>471</v>
      </c>
      <c r="B324" s="46" t="s">
        <v>472</v>
      </c>
      <c r="C324" s="46" t="s">
        <v>27</v>
      </c>
      <c r="D324" s="46" t="s">
        <v>47</v>
      </c>
      <c r="E324" s="46" t="n">
        <v>49</v>
      </c>
      <c r="F324" s="46" t="s">
        <v>43</v>
      </c>
      <c r="G324" s="46" t="n">
        <v>2022</v>
      </c>
      <c r="H324" s="46" t="s">
        <v>81</v>
      </c>
      <c r="I324" s="46" t="n">
        <v>68697</v>
      </c>
    </row>
    <row r="325" customFormat="false" ht="15" hidden="false" customHeight="false" outlineLevel="0" collapsed="false">
      <c r="A325" s="44" t="s">
        <v>473</v>
      </c>
      <c r="B325" s="44" t="s">
        <v>101</v>
      </c>
      <c r="C325" s="44" t="s">
        <v>27</v>
      </c>
      <c r="D325" s="44" t="s">
        <v>42</v>
      </c>
      <c r="E325" s="44" t="n">
        <v>54</v>
      </c>
      <c r="F325" s="44" t="s">
        <v>48</v>
      </c>
      <c r="G325" s="44" t="n">
        <v>2018</v>
      </c>
      <c r="H325" s="44" t="s">
        <v>44</v>
      </c>
      <c r="I325" s="44" t="n">
        <v>74136</v>
      </c>
    </row>
    <row r="326" customFormat="false" ht="15" hidden="false" customHeight="false" outlineLevel="0" collapsed="false">
      <c r="A326" s="43" t="s">
        <v>474</v>
      </c>
      <c r="B326" s="43" t="s">
        <v>391</v>
      </c>
      <c r="C326" s="43" t="s">
        <v>27</v>
      </c>
      <c r="D326" s="43" t="s">
        <v>47</v>
      </c>
      <c r="E326" s="43" t="n">
        <v>55</v>
      </c>
      <c r="F326" s="43" t="s">
        <v>54</v>
      </c>
      <c r="G326" s="43" t="n">
        <v>2021</v>
      </c>
      <c r="H326" s="43" t="s">
        <v>44</v>
      </c>
      <c r="I326" s="43" t="n">
        <v>49592</v>
      </c>
    </row>
    <row r="327" customFormat="false" ht="15" hidden="false" customHeight="false" outlineLevel="0" collapsed="false">
      <c r="A327" s="44" t="s">
        <v>475</v>
      </c>
      <c r="B327" s="44" t="s">
        <v>316</v>
      </c>
      <c r="C327" s="44" t="s">
        <v>27</v>
      </c>
      <c r="D327" s="44" t="s">
        <v>47</v>
      </c>
      <c r="E327" s="44" t="n">
        <v>41</v>
      </c>
      <c r="F327" s="44" t="s">
        <v>48</v>
      </c>
      <c r="G327" s="44" t="n">
        <v>2019</v>
      </c>
      <c r="H327" s="44" t="s">
        <v>44</v>
      </c>
      <c r="I327" s="44" t="n">
        <v>58796</v>
      </c>
    </row>
    <row r="328" customFormat="false" ht="15" hidden="false" customHeight="false" outlineLevel="0" collapsed="false">
      <c r="A328" s="43" t="s">
        <v>476</v>
      </c>
      <c r="B328" s="43" t="s">
        <v>204</v>
      </c>
      <c r="C328" s="43" t="s">
        <v>27</v>
      </c>
      <c r="D328" s="43" t="s">
        <v>42</v>
      </c>
      <c r="E328" s="43" t="n">
        <v>56</v>
      </c>
      <c r="F328" s="43" t="s">
        <v>61</v>
      </c>
      <c r="G328" s="43" t="n">
        <v>2017</v>
      </c>
      <c r="H328" s="43" t="s">
        <v>44</v>
      </c>
      <c r="I328" s="43" t="n">
        <v>64535</v>
      </c>
    </row>
    <row r="329" customFormat="false" ht="15" hidden="false" customHeight="false" outlineLevel="0" collapsed="false">
      <c r="A329" s="44" t="s">
        <v>477</v>
      </c>
      <c r="B329" s="44" t="s">
        <v>122</v>
      </c>
      <c r="C329" s="44" t="s">
        <v>27</v>
      </c>
      <c r="D329" s="44" t="s">
        <v>47</v>
      </c>
      <c r="E329" s="44" t="n">
        <v>34</v>
      </c>
      <c r="F329" s="44" t="s">
        <v>51</v>
      </c>
      <c r="G329" s="44" t="n">
        <v>2017</v>
      </c>
      <c r="H329" s="44" t="s">
        <v>44</v>
      </c>
      <c r="I329" s="44" t="n">
        <v>76916</v>
      </c>
    </row>
    <row r="330" customFormat="false" ht="15" hidden="false" customHeight="false" outlineLevel="0" collapsed="false">
      <c r="A330" s="43" t="s">
        <v>478</v>
      </c>
      <c r="B330" s="43" t="s">
        <v>107</v>
      </c>
      <c r="C330" s="43" t="s">
        <v>27</v>
      </c>
      <c r="D330" s="43" t="s">
        <v>42</v>
      </c>
      <c r="E330" s="43" t="n">
        <v>54</v>
      </c>
      <c r="F330" s="43" t="s">
        <v>54</v>
      </c>
      <c r="G330" s="43" t="n">
        <v>2016</v>
      </c>
      <c r="H330" s="43" t="s">
        <v>44</v>
      </c>
      <c r="I330" s="43" t="n">
        <v>82067</v>
      </c>
    </row>
    <row r="331" customFormat="false" ht="15" hidden="false" customHeight="false" outlineLevel="0" collapsed="false">
      <c r="A331" s="44" t="s">
        <v>479</v>
      </c>
      <c r="B331" s="44" t="s">
        <v>198</v>
      </c>
      <c r="C331" s="44" t="s">
        <v>27</v>
      </c>
      <c r="D331" s="44" t="s">
        <v>47</v>
      </c>
      <c r="E331" s="44" t="n">
        <v>38</v>
      </c>
      <c r="F331" s="44" t="s">
        <v>61</v>
      </c>
      <c r="G331" s="44" t="n">
        <v>2021</v>
      </c>
      <c r="H331" s="44" t="s">
        <v>44</v>
      </c>
      <c r="I331" s="44" t="n">
        <v>80761</v>
      </c>
    </row>
    <row r="332" customFormat="false" ht="15" hidden="false" customHeight="false" outlineLevel="0" collapsed="false">
      <c r="A332" s="43" t="s">
        <v>480</v>
      </c>
      <c r="B332" s="43" t="s">
        <v>138</v>
      </c>
      <c r="C332" s="43" t="s">
        <v>27</v>
      </c>
      <c r="D332" s="43" t="s">
        <v>47</v>
      </c>
      <c r="E332" s="43" t="n">
        <v>39</v>
      </c>
      <c r="F332" s="43" t="s">
        <v>54</v>
      </c>
      <c r="G332" s="43" t="n">
        <v>2016</v>
      </c>
      <c r="H332" s="43" t="s">
        <v>44</v>
      </c>
      <c r="I332" s="43" t="n">
        <v>82868</v>
      </c>
    </row>
    <row r="333" customFormat="false" ht="15" hidden="false" customHeight="false" outlineLevel="0" collapsed="false">
      <c r="A333" s="44" t="s">
        <v>481</v>
      </c>
      <c r="B333" s="44" t="s">
        <v>204</v>
      </c>
      <c r="C333" s="44" t="s">
        <v>27</v>
      </c>
      <c r="D333" s="44" t="s">
        <v>42</v>
      </c>
      <c r="E333" s="44" t="n">
        <v>50</v>
      </c>
      <c r="F333" s="44" t="s">
        <v>54</v>
      </c>
      <c r="G333" s="44" t="n">
        <v>2016</v>
      </c>
      <c r="H333" s="44" t="s">
        <v>44</v>
      </c>
      <c r="I333" s="44" t="n">
        <v>51152</v>
      </c>
    </row>
    <row r="334" customFormat="false" ht="15" hidden="false" customHeight="false" outlineLevel="0" collapsed="false">
      <c r="A334" s="43" t="s">
        <v>482</v>
      </c>
      <c r="B334" s="43" t="s">
        <v>439</v>
      </c>
      <c r="C334" s="43" t="s">
        <v>27</v>
      </c>
      <c r="D334" s="43" t="s">
        <v>42</v>
      </c>
      <c r="E334" s="43" t="n">
        <v>44</v>
      </c>
      <c r="F334" s="43" t="s">
        <v>43</v>
      </c>
      <c r="G334" s="43" t="n">
        <v>2021</v>
      </c>
      <c r="H334" s="43" t="s">
        <v>44</v>
      </c>
      <c r="I334" s="43" t="n">
        <v>109241</v>
      </c>
    </row>
    <row r="335" customFormat="false" ht="15" hidden="false" customHeight="false" outlineLevel="0" collapsed="false">
      <c r="A335" s="44" t="s">
        <v>483</v>
      </c>
      <c r="B335" s="44" t="s">
        <v>270</v>
      </c>
      <c r="C335" s="44" t="s">
        <v>27</v>
      </c>
      <c r="D335" s="44" t="s">
        <v>47</v>
      </c>
      <c r="E335" s="44" t="n">
        <v>28</v>
      </c>
      <c r="F335" s="44" t="s">
        <v>51</v>
      </c>
      <c r="G335" s="44" t="n">
        <v>2017</v>
      </c>
      <c r="H335" s="44" t="s">
        <v>44</v>
      </c>
      <c r="I335" s="44" t="n">
        <v>133607</v>
      </c>
    </row>
    <row r="336" customFormat="false" ht="15" hidden="false" customHeight="false" outlineLevel="0" collapsed="false">
      <c r="A336" s="43" t="s">
        <v>484</v>
      </c>
      <c r="B336" s="43" t="s">
        <v>90</v>
      </c>
      <c r="C336" s="43" t="s">
        <v>27</v>
      </c>
      <c r="D336" s="43" t="s">
        <v>47</v>
      </c>
      <c r="E336" s="43" t="n">
        <v>49</v>
      </c>
      <c r="F336" s="43" t="s">
        <v>54</v>
      </c>
      <c r="G336" s="43" t="n">
        <v>2015</v>
      </c>
      <c r="H336" s="43" t="s">
        <v>44</v>
      </c>
      <c r="I336" s="43" t="n">
        <v>125893</v>
      </c>
    </row>
    <row r="337" customFormat="false" ht="15" hidden="false" customHeight="false" outlineLevel="0" collapsed="false">
      <c r="A337" s="44" t="s">
        <v>485</v>
      </c>
      <c r="B337" s="44" t="s">
        <v>153</v>
      </c>
      <c r="C337" s="44" t="s">
        <v>27</v>
      </c>
      <c r="D337" s="44" t="s">
        <v>42</v>
      </c>
      <c r="E337" s="44" t="n">
        <v>42</v>
      </c>
      <c r="F337" s="44" t="s">
        <v>54</v>
      </c>
      <c r="G337" s="44" t="n">
        <v>2015</v>
      </c>
      <c r="H337" s="44" t="s">
        <v>44</v>
      </c>
      <c r="I337" s="44" t="n">
        <v>148028</v>
      </c>
    </row>
    <row r="338" customFormat="false" ht="15" hidden="false" customHeight="false" outlineLevel="0" collapsed="false">
      <c r="A338" s="43" t="s">
        <v>486</v>
      </c>
      <c r="B338" s="43" t="s">
        <v>159</v>
      </c>
      <c r="C338" s="43" t="s">
        <v>27</v>
      </c>
      <c r="D338" s="43" t="s">
        <v>47</v>
      </c>
      <c r="E338" s="43" t="n">
        <v>26</v>
      </c>
      <c r="F338" s="43" t="s">
        <v>61</v>
      </c>
      <c r="G338" s="43" t="n">
        <v>2018</v>
      </c>
      <c r="H338" s="43" t="s">
        <v>44</v>
      </c>
      <c r="I338" s="43" t="n">
        <v>113250</v>
      </c>
    </row>
    <row r="339" customFormat="false" ht="15" hidden="false" customHeight="false" outlineLevel="0" collapsed="false">
      <c r="A339" s="44" t="s">
        <v>487</v>
      </c>
      <c r="B339" s="44" t="s">
        <v>354</v>
      </c>
      <c r="C339" s="44" t="s">
        <v>27</v>
      </c>
      <c r="D339" s="44" t="s">
        <v>47</v>
      </c>
      <c r="E339" s="44" t="n">
        <v>28</v>
      </c>
      <c r="F339" s="44" t="s">
        <v>51</v>
      </c>
      <c r="G339" s="44" t="n">
        <v>2023</v>
      </c>
      <c r="H339" s="44" t="s">
        <v>44</v>
      </c>
      <c r="I339" s="44" t="n">
        <v>117695</v>
      </c>
    </row>
    <row r="340" customFormat="false" ht="15" hidden="false" customHeight="false" outlineLevel="0" collapsed="false">
      <c r="A340" s="43" t="s">
        <v>488</v>
      </c>
      <c r="B340" s="43" t="s">
        <v>459</v>
      </c>
      <c r="C340" s="43" t="s">
        <v>27</v>
      </c>
      <c r="D340" s="43" t="s">
        <v>42</v>
      </c>
      <c r="E340" s="43" t="n">
        <v>52</v>
      </c>
      <c r="F340" s="43" t="s">
        <v>51</v>
      </c>
      <c r="G340" s="43" t="n">
        <v>2020</v>
      </c>
      <c r="H340" s="43" t="s">
        <v>44</v>
      </c>
      <c r="I340" s="43" t="n">
        <v>145422</v>
      </c>
    </row>
    <row r="341" customFormat="false" ht="15" hidden="false" customHeight="false" outlineLevel="0" collapsed="false">
      <c r="A341" s="44" t="s">
        <v>489</v>
      </c>
      <c r="B341" s="44" t="s">
        <v>391</v>
      </c>
      <c r="C341" s="44" t="s">
        <v>27</v>
      </c>
      <c r="D341" s="44" t="s">
        <v>47</v>
      </c>
      <c r="E341" s="44" t="n">
        <v>56</v>
      </c>
      <c r="F341" s="44" t="s">
        <v>43</v>
      </c>
      <c r="G341" s="44" t="n">
        <v>2020</v>
      </c>
      <c r="H341" s="44" t="s">
        <v>44</v>
      </c>
      <c r="I341" s="44" t="n">
        <v>108891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7" min="6" style="0" width="16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3" t="s">
        <v>8</v>
      </c>
      <c r="B1" s="13" t="s">
        <v>9</v>
      </c>
      <c r="C1" s="13" t="s">
        <v>490</v>
      </c>
      <c r="D1" s="13" t="s">
        <v>491</v>
      </c>
      <c r="F1" s="13" t="s">
        <v>34</v>
      </c>
      <c r="G1" s="13" t="s">
        <v>492</v>
      </c>
      <c r="I1" s="13" t="s">
        <v>493</v>
      </c>
      <c r="J1" s="13" t="s">
        <v>492</v>
      </c>
    </row>
    <row r="2" customFormat="false" ht="15" hidden="false" customHeight="false" outlineLevel="0" collapsed="false">
      <c r="A2" s="29" t="s">
        <v>14</v>
      </c>
      <c r="B2" s="29" t="n">
        <v>85</v>
      </c>
      <c r="C2" s="29" t="n">
        <v>4</v>
      </c>
      <c r="D2" s="47" t="n">
        <v>0.05</v>
      </c>
      <c r="F2" s="29" t="s">
        <v>47</v>
      </c>
      <c r="G2" s="29" t="n">
        <v>196</v>
      </c>
      <c r="I2" s="29" t="s">
        <v>22</v>
      </c>
      <c r="J2" s="29" t="n">
        <v>95</v>
      </c>
    </row>
    <row r="3" customFormat="false" ht="15" hidden="false" customHeight="false" outlineLevel="0" collapsed="false">
      <c r="A3" s="29" t="s">
        <v>16</v>
      </c>
      <c r="B3" s="29" t="n">
        <v>60</v>
      </c>
      <c r="C3" s="29" t="n">
        <v>7</v>
      </c>
      <c r="D3" s="47" t="n">
        <v>0.12</v>
      </c>
      <c r="F3" s="29" t="s">
        <v>42</v>
      </c>
      <c r="G3" s="29" t="n">
        <v>144</v>
      </c>
      <c r="I3" s="29" t="s">
        <v>24</v>
      </c>
      <c r="J3" s="29" t="n">
        <v>128</v>
      </c>
    </row>
    <row r="4" customFormat="false" ht="15" hidden="false" customHeight="false" outlineLevel="0" collapsed="false">
      <c r="A4" s="29" t="s">
        <v>18</v>
      </c>
      <c r="B4" s="29" t="n">
        <v>20</v>
      </c>
      <c r="C4" s="29" t="n">
        <v>2</v>
      </c>
      <c r="D4" s="47" t="n">
        <v>0.08</v>
      </c>
      <c r="F4" s="29"/>
      <c r="G4" s="29"/>
      <c r="I4" s="29" t="s">
        <v>26</v>
      </c>
      <c r="J4" s="29" t="n">
        <v>86</v>
      </c>
    </row>
    <row r="5" customFormat="false" ht="15" hidden="false" customHeight="false" outlineLevel="0" collapsed="false">
      <c r="A5" s="29" t="s">
        <v>19</v>
      </c>
      <c r="B5" s="29" t="n">
        <v>35</v>
      </c>
      <c r="C5" s="29" t="n">
        <v>2</v>
      </c>
      <c r="D5" s="47" t="n">
        <v>0.06</v>
      </c>
      <c r="I5" s="29" t="s">
        <v>28</v>
      </c>
      <c r="J5" s="29" t="n">
        <v>31</v>
      </c>
    </row>
    <row r="6" customFormat="false" ht="15" hidden="false" customHeight="false" outlineLevel="0" collapsed="false">
      <c r="A6" s="29" t="s">
        <v>21</v>
      </c>
      <c r="B6" s="29" t="n">
        <v>30</v>
      </c>
      <c r="C6" s="29" t="n">
        <v>4</v>
      </c>
      <c r="D6" s="47" t="n">
        <v>0.15</v>
      </c>
    </row>
    <row r="7" customFormat="false" ht="15" hidden="false" customHeight="false" outlineLevel="0" collapsed="false">
      <c r="A7" s="29" t="s">
        <v>23</v>
      </c>
      <c r="B7" s="29" t="n">
        <v>55</v>
      </c>
      <c r="C7" s="29" t="n">
        <v>5</v>
      </c>
      <c r="D7" s="47" t="n">
        <v>0.09</v>
      </c>
    </row>
    <row r="8" customFormat="false" ht="15" hidden="false" customHeight="false" outlineLevel="0" collapsed="false">
      <c r="A8" s="29" t="s">
        <v>25</v>
      </c>
      <c r="B8" s="29" t="n">
        <v>12</v>
      </c>
      <c r="C8" s="29" t="n">
        <v>0</v>
      </c>
      <c r="D8" s="47" t="n">
        <v>0.04</v>
      </c>
    </row>
    <row r="9" customFormat="false" ht="15" hidden="false" customHeight="false" outlineLevel="0" collapsed="false">
      <c r="A9" s="29" t="s">
        <v>27</v>
      </c>
      <c r="B9" s="29" t="n">
        <v>43</v>
      </c>
      <c r="C9" s="29" t="n">
        <v>4</v>
      </c>
      <c r="D9" s="47" t="n">
        <v>0.1</v>
      </c>
    </row>
    <row r="10" customFormat="false" ht="15" hidden="false" customHeight="false" outlineLevel="0" collapsed="false">
      <c r="A10" s="48" t="s">
        <v>29</v>
      </c>
      <c r="B10" s="29" t="n">
        <f aca="false">SUM(B2:B9)</f>
        <v>340</v>
      </c>
      <c r="C10" s="29" t="n">
        <f aca="false">SUM(C2:C9)</f>
        <v>28</v>
      </c>
      <c r="D10" s="49" t="n">
        <f aca="false">C10/B10</f>
        <v>0.0823529411764706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2026-02-25T05:13:50Z</dcterms:created>
  <dc:creator>openpyxl</dc:creator>
  <dc:description/>
  <dc:language>en-US</dc:language>
  <cp:lastModifiedBy/>
  <dcterms:modified xsi:type="dcterms:W3CDTF">2026-02-25T05:13:58Z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